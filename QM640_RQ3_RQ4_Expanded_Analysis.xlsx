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8fa1d5bd1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T_Public_BEE" sheetId="1" r:id="Ra4007c88a2554b67"/>
    <x:sheet xmlns:r="http://schemas.openxmlformats.org/officeDocument/2006/relationships" name="Assumptions" sheetId="2" r:id="R5ff4ff1b3e884aed"/>
    <x:sheet xmlns:r="http://schemas.openxmlformats.org/officeDocument/2006/relationships" name="RQ3_Distribution" sheetId="3" r:id="R8352962ee3bc45a4"/>
    <x:sheet xmlns:r="http://schemas.openxmlformats.org/officeDocument/2006/relationships" name="RQ4_Distribution" sheetId="4" r:id="Ree7efa4d680a408d"/>
    <x:sheet xmlns:r="http://schemas.openxmlformats.org/officeDocument/2006/relationships" name="RQ4_Controls" sheetId="5" r:id="Rf12b38ec4f4f437e"/>
    <x:sheet xmlns:r="http://schemas.openxmlformats.org/officeDocument/2006/relationships" name="Power_Public_Input" sheetId="6" r:id="R39baab902a3d4e26"/>
    <x:sheet xmlns:r="http://schemas.openxmlformats.org/officeDocument/2006/relationships" name="RQ3_Power_Pending" sheetId="7" r:id="Rd81f457d6df94bb6"/>
    <x:sheet xmlns:r="http://schemas.openxmlformats.org/officeDocument/2006/relationships" name="Method_and_Sources" sheetId="8" r:id="R2f6422559bb749d2"/>
    <x:sheet xmlns:r="http://schemas.openxmlformats.org/officeDocument/2006/relationships" name="RQ3_Load_Sensitivity" sheetId="9" r:id="R4d77470727134a81"/>
    <x:sheet xmlns:r="http://schemas.openxmlformats.org/officeDocument/2006/relationships" name="RQ4_Monte_Carlo" sheetId="10" r:id="R0e39309a12b041f5"/>
    <x:sheet xmlns:r="http://schemas.openxmlformats.org/officeDocument/2006/relationships" name="RQ4_MILP_Results" sheetId="11" r:id="R4cde30ef0ade4af1"/>
    <x:sheet xmlns:r="http://schemas.openxmlformats.org/officeDocument/2006/relationships" name="RQ4_Budget_Sensitivity" sheetId="12" r:id="Rde369340cfc34fd7"/>
    <x:sheet xmlns:r="http://schemas.openxmlformats.org/officeDocument/2006/relationships" name="Power_Readiness_Check" sheetId="13" r:id="Re9f9303d0e62419a"/>
    <x:sheet xmlns:r="http://schemas.openxmlformats.org/officeDocument/2006/relationships" name="Analysis_Notes" sheetId="14" r:id="R2858e87614e3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1f39d8a1d4337" /><Relationship Type="http://schemas.openxmlformats.org/officeDocument/2006/relationships/theme" Target="/xl/theme/theme1.xml" Id="R60f87b8ed92449b8" /><Relationship Type="http://schemas.openxmlformats.org/officeDocument/2006/relationships/sharedStrings" Target="/xl/sharedStrings.xml" Id="Rd502e761c3dd4e52" /><Relationship Type="http://schemas.openxmlformats.org/officeDocument/2006/relationships/worksheet" Target="/xl/worksheets/sheet1.xml" Id="Ra4007c88a2554b67" /><Relationship Type="http://schemas.openxmlformats.org/officeDocument/2006/relationships/worksheet" Target="/xl/worksheets/sheet2.xml" Id="R5ff4ff1b3e884aed" /><Relationship Type="http://schemas.openxmlformats.org/officeDocument/2006/relationships/worksheet" Target="/xl/worksheets/sheet3.xml" Id="R8352962ee3bc45a4" /><Relationship Type="http://schemas.openxmlformats.org/officeDocument/2006/relationships/worksheet" Target="/xl/worksheets/sheet4.xml" Id="Ree7efa4d680a408d" /><Relationship Type="http://schemas.openxmlformats.org/officeDocument/2006/relationships/worksheet" Target="/xl/worksheets/sheet5.xml" Id="Rf12b38ec4f4f437e" /><Relationship Type="http://schemas.openxmlformats.org/officeDocument/2006/relationships/worksheet" Target="/xl/worksheets/sheet6.xml" Id="R39baab902a3d4e26" /><Relationship Type="http://schemas.openxmlformats.org/officeDocument/2006/relationships/worksheet" Target="/xl/worksheets/sheet7.xml" Id="Rd81f457d6df94bb6" /><Relationship Type="http://schemas.openxmlformats.org/officeDocument/2006/relationships/worksheet" Target="/xl/worksheets/sheet8.xml" Id="R2f6422559bb749d2" /><Relationship Type="http://schemas.openxmlformats.org/officeDocument/2006/relationships/worksheet" Target="/xl/worksheets/sheet9.xml" Id="R4d77470727134a81" /><Relationship Type="http://schemas.openxmlformats.org/officeDocument/2006/relationships/worksheet" Target="/xl/worksheets/sheet10.xml" Id="R0e39309a12b041f5" /><Relationship Type="http://schemas.openxmlformats.org/officeDocument/2006/relationships/worksheet" Target="/xl/worksheets/sheet11.xml" Id="R4cde30ef0ade4af1" /><Relationship Type="http://schemas.openxmlformats.org/officeDocument/2006/relationships/worksheet" Target="/xl/worksheets/sheet12.xml" Id="Rde369340cfc34fd7" /><Relationship Type="http://schemas.openxmlformats.org/officeDocument/2006/relationships/worksheet" Target="/xl/worksheets/sheet13.xml" Id="Re9f9303d0e62419a" /><Relationship Type="http://schemas.openxmlformats.org/officeDocument/2006/relationships/worksheet" Target="/xl/worksheets/sheet14.xml" Id="R2858e87614e342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8" hidden="0" customWidth="1"/>
  </x:cols>
  <x:sheetData>
    <x:row r="1" ht="29" customHeight="1">
      <x:c r="A1" s="3" t="str">
        <x:v>kVA</x:v>
      </x:c>
      <x:c r="B1" s="3" t="str">
        <x:v>Baseline tier</x:v>
      </x:c>
      <x:c r="C1" s="3" t="str">
        <x:v>L50 W</x:v>
      </x:c>
      <x:c r="D1" s="3" t="str">
        <x:v>L100 W</x:v>
      </x:c>
      <x:c r="E1" s="3" t="str">
        <x:v>Upgrade tier</x:v>
      </x:c>
      <x:c r="F1" s="3" t="str">
        <x:v>L50 W</x:v>
      </x:c>
      <x:c r="G1" s="3" t="str">
        <x:v>L100 W</x:v>
      </x:c>
      <x:c r="H1" s="3" t="str">
        <x:v>Source URL</x:v>
      </x:c>
      <x:c r="I1" s="3" t="str">
        <x:v>Evidence caveat</x:v>
      </x:c>
    </x:row>
    <x:row r="2">
      <x:c r="A2" t="n">
        <x:v>16</x:v>
      </x:c>
      <x:c r="B2" t="str">
        <x:v>3-star legacy</x:v>
      </x:c>
      <x:c r="C2" t="n">
        <x:v>150</x:v>
      </x:c>
      <x:c r="D2" t="n">
        <x:v>480</x:v>
      </x:c>
      <x:c r="E2" t="str">
        <x:v>5-star legacy</x:v>
      </x:c>
      <x:c r="F2" t="n">
        <x:v>120</x:v>
      </x:c>
      <x:c r="G2" t="n">
        <x:v>400</x:v>
      </x:c>
      <x:c r="H2" t="str">
        <x:v>https://sidhiee.beeindia.gov.in/images/DigitalLibrary/637877968963725337.pdf</x:v>
      </x:c>
      <x:c r="I2" t="str">
        <x:v>Historical BEE table; maximum limits, NOT measurements</x:v>
      </x:c>
    </x:row>
    <x:row r="3">
      <x:c r="A3" t="n">
        <x:v>25</x:v>
      </x:c>
      <x:c r="B3" t="str">
        <x:v>3-star legacy</x:v>
      </x:c>
      <x:c r="C3" t="n">
        <x:v>210</x:v>
      </x:c>
      <x:c r="D3" t="n">
        <x:v>695</x:v>
      </x:c>
      <x:c r="E3" t="str">
        <x:v>5-star legacy</x:v>
      </x:c>
      <x:c r="F3" t="n">
        <x:v>175</x:v>
      </x:c>
      <x:c r="G3" t="n">
        <x:v>595</x:v>
      </x:c>
      <x:c r="H3" t="str">
        <x:v>https://sidhiee.beeindia.gov.in/images/DigitalLibrary/637877968963725337.pdf</x:v>
      </x:c>
      <x:c r="I3" t="str">
        <x:v>Historical BEE table; maximum limits, NOT measurements</x:v>
      </x:c>
    </x:row>
    <x:row r="4">
      <x:c r="A4" t="n">
        <x:v>63</x:v>
      </x:c>
      <x:c r="B4" t="str">
        <x:v>3-star legacy</x:v>
      </x:c>
      <x:c r="C4" t="n">
        <x:v>380</x:v>
      </x:c>
      <x:c r="D4" t="n">
        <x:v>1250</x:v>
      </x:c>
      <x:c r="E4" t="str">
        <x:v>5-star legacy</x:v>
      </x:c>
      <x:c r="F4" t="n">
        <x:v>300</x:v>
      </x:c>
      <x:c r="G4" t="n">
        <x:v>1050</x:v>
      </x:c>
      <x:c r="H4" t="str">
        <x:v>https://sidhiee.beeindia.gov.in/images/DigitalLibrary/637877968963725337.pdf</x:v>
      </x:c>
      <x:c r="I4" t="str">
        <x:v>Historical BEE table; maximum limits, NOT measurements</x:v>
      </x:c>
    </x:row>
    <x:row r="5">
      <x:c r="A5" t="n">
        <x:v>100</x:v>
      </x:c>
      <x:c r="B5" t="str">
        <x:v>3-star legacy</x:v>
      </x:c>
      <x:c r="C5" t="n">
        <x:v>520</x:v>
      </x:c>
      <x:c r="D5" t="n">
        <x:v>1800</x:v>
      </x:c>
      <x:c r="E5" t="str">
        <x:v>5-star legacy</x:v>
      </x:c>
      <x:c r="F5" t="n">
        <x:v>435</x:v>
      </x:c>
      <x:c r="G5" t="n">
        <x:v>1500</x:v>
      </x:c>
      <x:c r="H5" t="str">
        <x:v>https://sidhiee.beeindia.gov.in/images/DigitalLibrary/637877968963725337.pdf</x:v>
      </x:c>
      <x:c r="I5" t="str">
        <x:v>Historical BEE table; maximum limits, NOT measurements</x:v>
      </x:c>
    </x:row>
    <x:row r="6">
      <x:c r="A6" t="n">
        <x:v>160</x:v>
      </x:c>
      <x:c r="B6" t="str">
        <x:v>3-star legacy</x:v>
      </x:c>
      <x:c r="C6" t="n">
        <x:v>770</x:v>
      </x:c>
      <x:c r="D6" t="n">
        <x:v>2200</x:v>
      </x:c>
      <x:c r="E6" t="str">
        <x:v>5-star legacy</x:v>
      </x:c>
      <x:c r="F6" t="n">
        <x:v>570</x:v>
      </x:c>
      <x:c r="G6" t="n">
        <x:v>1700</x:v>
      </x:c>
      <x:c r="H6" t="str">
        <x:v>https://sidhiee.beeindia.gov.in/images/DigitalLibrary/637877968963725337.pdf</x:v>
      </x:c>
      <x:c r="I6" t="str">
        <x:v>Historical BEE table; maximum limits, NOT measurements</x:v>
      </x:c>
    </x:row>
    <x:row r="7">
      <x:c r="A7" t="n">
        <x:v>200</x:v>
      </x:c>
      <x:c r="B7" t="str">
        <x:v>3-star legacy</x:v>
      </x:c>
      <x:c r="C7" t="n">
        <x:v>890</x:v>
      </x:c>
      <x:c r="D7" t="n">
        <x:v>2700</x:v>
      </x:c>
      <x:c r="E7" t="str">
        <x:v>5-star legacy</x:v>
      </x:c>
      <x:c r="F7" t="n">
        <x:v>670</x:v>
      </x:c>
      <x:c r="G7" t="n">
        <x:v>2100</x:v>
      </x:c>
      <x:c r="H7" t="str">
        <x:v>https://sidhiee.beeindia.gov.in/images/DigitalLibrary/637877968963725337.pdf</x:v>
      </x:c>
      <x:c r="I7" t="str">
        <x:v>Historical BEE table; maximum limits, NOT measurements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7" hidden="0" customWidth="1"/>
  </x:cols>
  <x:sheetData>
    <x:row r="1" ht="29" customHeight="1">
      <x:c r="A1" s="3" t="str">
        <x:v>Parameter</x:v>
      </x:c>
      <x:c r="B1" s="3" t="str">
        <x:v>Value</x:v>
      </x:c>
      <x:c r="C1" s="3" t="str">
        <x:v>Basis / caution</x:v>
      </x:c>
    </x:row>
    <x:row r="2">
      <x:c r="A2" t="str">
        <x:v>Loading fraction</x:v>
      </x:c>
      <x:c r="B2" t="n">
        <x:v>0.6</x:v>
      </x:c>
      <x:c r="C2" t="str">
        <x:v>Illustrative constant load; replace with utility interval series</x:v>
      </x:c>
    </x:row>
    <x:row r="3">
      <x:c r="A3" t="str">
        <x:v>Operating hours per year</x:v>
      </x:c>
      <x:c r="B3" t="n">
        <x:v>8760</x:v>
      </x:c>
      <x:c r="C3" t="str">
        <x:v>Illustrative energized hours</x:v>
      </x:c>
    </x:row>
    <x:row r="4">
      <x:c r="A4" t="str">
        <x:v>Energy value INR/kWh</x:v>
      </x:c>
      <x:c r="B4" t="n">
        <x:v>7</x:v>
      </x:c>
      <x:c r="C4" t="str">
        <x:v>Assumed, not verified utility tariff</x:v>
      </x:c>
    </x:row>
    <x:row r="5">
      <x:c r="A5" t="str">
        <x:v>Discount rate</x:v>
      </x:c>
      <x:c r="B5" t="n">
        <x:v>0.08</x:v>
      </x:c>
      <x:c r="C5" t="str">
        <x:v>Assumed</x:v>
      </x:c>
    </x:row>
    <x:row r="6">
      <x:c r="A6" t="str">
        <x:v>Years</x:v>
      </x:c>
      <x:c r="B6" t="n">
        <x:v>15</x:v>
      </x:c>
      <x:c r="C6" t="str">
        <x:v>Assumed</x:v>
      </x:c>
    </x:row>
    <x:row r="7">
      <x:c r="A7" t="str">
        <x:v>CAPEX budget INR</x:v>
      </x:c>
      <x:c r="B7" t="n">
        <x:v>800000</x:v>
      </x:c>
      <x:c r="C7" t="str">
        <x:v>Assumed</x:v>
      </x:c>
    </x:row>
    <x:row r="8">
      <x:c r="A8" t="str">
        <x:v>MC draws</x:v>
      </x:c>
      <x:c r="B8" t="n">
        <x:v>1000</x:v>
      </x:c>
      <x:c r="C8" t="str">
        <x:v>Monte Carlo design parameter; not simulated in this file</x:v>
      </x:c>
    </x:row>
    <x:row r="9">
      <x:c r="A9" t="str">
        <x:v>Price scenario uncertainty</x:v>
      </x:c>
      <x:c r="B9" t="n">
        <x:v>0.2</x:v>
      </x:c>
      <x:c r="C9" t="str">
        <x:v>Illustrative ±20%; not empirically estimated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9" hidden="0" customWidth="1"/>
  </x:cols>
  <x:sheetData>
    <x:row r="1" ht="29" customHeight="1">
      <x:c r="A1" s="3" t="str">
        <x:v>kVA</x:v>
      </x:c>
      <x:c r="B1" s="3" t="str">
        <x:v>Baseline P0 kW</x:v>
      </x:c>
      <x:c r="C1" s="3" t="str">
        <x:v>Baseline PLL kW</x:v>
      </x:c>
      <x:c r="D1" s="3" t="str">
        <x:v>Upgrade P0 kW</x:v>
      </x:c>
      <x:c r="E1" s="3" t="str">
        <x:v>Upgrade PLL kW</x:v>
      </x:c>
      <x:c r="F1" s="3" t="str">
        <x:v>Base annual kWh</x:v>
      </x:c>
      <x:c r="G1" s="3" t="str">
        <x:v>Upgrade annual kWh</x:v>
      </x:c>
      <x:c r="H1" s="3" t="str">
        <x:v>Saved kWh/yr</x:v>
      </x:c>
      <x:c r="I1" s="3" t="str">
        <x:v>Value INR/yr</x:v>
      </x:c>
      <x:c r="J1" s="3" t="str">
        <x:v>Data class</x:v>
      </x:c>
    </x:row>
    <x:row r="2">
      <x:c r="A2" t="n">
        <x:v>16</x:v>
      </x:c>
      <x:c r="B2" t="n">
        <x:f>(4*DT_Public_BEE!C2-DT_Public_BEE!D2)/3000</x:f>
        <x:v>0.04</x:v>
      </x:c>
      <x:c r="C2" t="n">
        <x:f>4*(DT_Public_BEE!D2-DT_Public_BEE!C2)/3000</x:f>
        <x:v>0.44</x:v>
      </x:c>
      <x:c r="D2" t="n">
        <x:f>(4*DT_Public_BEE!F2-DT_Public_BEE!G2)/3000</x:f>
        <x:v>0.02666666666666667</x:v>
      </x:c>
      <x:c r="E2" t="n">
        <x:f>4*(DT_Public_BEE!G2-DT_Public_BEE!F2)/3000</x:f>
        <x:v>0.37333333333333335</x:v>
      </x:c>
      <x:c r="F2" t="n">
        <x:f>(B2+C2*Assumptions!$B$2^2)*Assumptions!$B$3</x:f>
        <x:v>1737.984</x:v>
      </x:c>
      <x:c r="G2" t="n">
        <x:f>(D2+E2*Assumptions!$B$2^2)*Assumptions!$B$3</x:f>
        <x:v>1410.944</x:v>
      </x:c>
      <x:c r="H2" t="n">
        <x:f>F2-G2</x:f>
        <x:v>327.03999999999996</x:v>
      </x:c>
      <x:c r="I2" t="n">
        <x:f>H2*Assumptions!$B$4</x:f>
        <x:v>2289.2799999999997</x:v>
      </x:c>
      <x:c r="J2" t="str">
        <x:v>BEE published maximum-loss scenario</x:v>
      </x:c>
    </x:row>
    <x:row r="3">
      <x:c r="A3" t="n">
        <x:v>25</x:v>
      </x:c>
      <x:c r="B3" t="n">
        <x:f>(4*DT_Public_BEE!C3-DT_Public_BEE!D3)/3000</x:f>
        <x:v>0.04833333333333333</x:v>
      </x:c>
      <x:c r="C3" t="n">
        <x:f>4*(DT_Public_BEE!D3-DT_Public_BEE!C3)/3000</x:f>
        <x:v>0.6466666666666666</x:v>
      </x:c>
      <x:c r="D3" t="n">
        <x:f>(4*DT_Public_BEE!F3-DT_Public_BEE!G3)/3000</x:f>
        <x:v>0.035</x:v>
      </x:c>
      <x:c r="E3" t="n">
        <x:f>4*(DT_Public_BEE!G3-DT_Public_BEE!F3)/3000</x:f>
        <x:v>0.56</x:v>
      </x:c>
      <x:c r="F3" t="n">
        <x:f>(B3+C3*Assumptions!$B$2^2)*Assumptions!$B$3</x:f>
        <x:v>2462.7279999999996</x:v>
      </x:c>
      <x:c r="G3" t="n">
        <x:f>(D3+E3*Assumptions!$B$2^2)*Assumptions!$B$3</x:f>
        <x:v>2072.616</x:v>
      </x:c>
      <x:c r="H3" t="n">
        <x:f>F3-G3</x:f>
        <x:v>390.1119999999996</x:v>
      </x:c>
      <x:c r="I3" t="n">
        <x:f>H3*Assumptions!$B$4</x:f>
        <x:v>2730.7839999999974</x:v>
      </x:c>
      <x:c r="J3" t="str">
        <x:v>BEE published maximum-loss scenario</x:v>
      </x:c>
    </x:row>
    <x:row r="4">
      <x:c r="A4" t="n">
        <x:v>63</x:v>
      </x:c>
      <x:c r="B4" t="n">
        <x:f>(4*DT_Public_BEE!C4-DT_Public_BEE!D4)/3000</x:f>
        <x:v>0.09</x:v>
      </x:c>
      <x:c r="C4" t="n">
        <x:f>4*(DT_Public_BEE!D4-DT_Public_BEE!C4)/3000</x:f>
        <x:v>1.16</x:v>
      </x:c>
      <x:c r="D4" t="n">
        <x:f>(4*DT_Public_BEE!F4-DT_Public_BEE!G4)/3000</x:f>
        <x:v>0.05</x:v>
      </x:c>
      <x:c r="E4" t="n">
        <x:f>4*(DT_Public_BEE!G4-DT_Public_BEE!F4)/3000</x:f>
        <x:v>1</x:v>
      </x:c>
      <x:c r="F4" t="n">
        <x:f>(B4+C4*Assumptions!$B$2^2)*Assumptions!$B$3</x:f>
        <x:v>4446.575999999999</x:v>
      </x:c>
      <x:c r="G4" t="n">
        <x:f>(D4+E4*Assumptions!$B$2^2)*Assumptions!$B$3</x:f>
        <x:v>3591.6</x:v>
      </x:c>
      <x:c r="H4" t="n">
        <x:f>F4-G4</x:f>
        <x:v>854.9759999999992</x:v>
      </x:c>
      <x:c r="I4" t="n">
        <x:f>H4*Assumptions!$B$4</x:f>
        <x:v>5984.831999999995</x:v>
      </x:c>
      <x:c r="J4" t="str">
        <x:v>BEE published maximum-loss scenario</x:v>
      </x:c>
    </x:row>
    <x:row r="5">
      <x:c r="A5" t="n">
        <x:v>100</x:v>
      </x:c>
      <x:c r="B5" t="n">
        <x:f>(4*DT_Public_BEE!C5-DT_Public_BEE!D5)/3000</x:f>
        <x:v>0.09333333333333334</x:v>
      </x:c>
      <x:c r="C5" t="n">
        <x:f>4*(DT_Public_BEE!D5-DT_Public_BEE!C5)/3000</x:f>
        <x:v>1.7066666666666668</x:v>
      </x:c>
      <x:c r="D5" t="n">
        <x:f>(4*DT_Public_BEE!F5-DT_Public_BEE!G5)/3000</x:f>
        <x:v>0.08</x:v>
      </x:c>
      <x:c r="E5" t="n">
        <x:f>4*(DT_Public_BEE!G5-DT_Public_BEE!F5)/3000</x:f>
        <x:v>1.42</x:v>
      </x:c>
      <x:c r="F5" t="n">
        <x:f>(B5+C5*Assumptions!$B$2^2)*Assumptions!$B$3</x:f>
        <x:v>6199.744000000001</x:v>
      </x:c>
      <x:c r="G5" t="n">
        <x:f>(D5+E5*Assumptions!$B$2^2)*Assumptions!$B$3</x:f>
        <x:v>5178.911999999999</x:v>
      </x:c>
      <x:c r="H5" t="n">
        <x:f>F5-G5</x:f>
        <x:v>1020.8320000000012</x:v>
      </x:c>
      <x:c r="I5" t="n">
        <x:f>H5*Assumptions!$B$4</x:f>
        <x:v>7145.824000000009</x:v>
      </x:c>
      <x:c r="J5" t="str">
        <x:v>BEE published maximum-loss scenario</x:v>
      </x:c>
    </x:row>
    <x:row r="6">
      <x:c r="A6" t="n">
        <x:v>160</x:v>
      </x:c>
      <x:c r="B6" t="n">
        <x:f>(4*DT_Public_BEE!C6-DT_Public_BEE!D6)/3000</x:f>
        <x:v>0.29333333333333333</x:v>
      </x:c>
      <x:c r="C6" t="n">
        <x:f>4*(DT_Public_BEE!D6-DT_Public_BEE!C6)/3000</x:f>
        <x:v>1.9066666666666667</x:v>
      </x:c>
      <x:c r="D6" t="n">
        <x:f>(4*DT_Public_BEE!F6-DT_Public_BEE!G6)/3000</x:f>
        <x:v>0.19333333333333333</x:v>
      </x:c>
      <x:c r="E6" t="n">
        <x:f>4*(DT_Public_BEE!G6-DT_Public_BEE!F6)/3000</x:f>
        <x:v>1.5066666666666666</x:v>
      </x:c>
      <x:c r="F6" t="n">
        <x:f>(B6+C6*Assumptions!$B$2^2)*Assumptions!$B$3</x:f>
        <x:v>8582.464</x:v>
      </x:c>
      <x:c r="G6" t="n">
        <x:f>(D6+E6*Assumptions!$B$2^2)*Assumptions!$B$3</x:f>
        <x:v>6445.024</x:v>
      </x:c>
      <x:c r="H6" t="n">
        <x:f>F6-G6</x:f>
        <x:v>2137.4399999999996</x:v>
      </x:c>
      <x:c r="I6" t="n">
        <x:f>H6*Assumptions!$B$4</x:f>
        <x:v>14962.079999999998</x:v>
      </x:c>
      <x:c r="J6" t="str">
        <x:v>BEE published maximum-loss scenario</x:v>
      </x:c>
    </x:row>
    <x:row r="7">
      <x:c r="A7" t="n">
        <x:v>200</x:v>
      </x:c>
      <x:c r="B7" t="n">
        <x:f>(4*DT_Public_BEE!C7-DT_Public_BEE!D7)/3000</x:f>
        <x:v>0.2866666666666667</x:v>
      </x:c>
      <x:c r="C7" t="n">
        <x:f>4*(DT_Public_BEE!D7-DT_Public_BEE!C7)/3000</x:f>
        <x:v>2.4133333333333336</x:v>
      </x:c>
      <x:c r="D7" t="n">
        <x:f>(4*DT_Public_BEE!F7-DT_Public_BEE!G7)/3000</x:f>
        <x:v>0.19333333333333333</x:v>
      </x:c>
      <x:c r="E7" t="n">
        <x:f>4*(DT_Public_BEE!G7-DT_Public_BEE!F7)/3000</x:f>
        <x:v>1.9066666666666667</x:v>
      </x:c>
      <x:c r="F7" t="n">
        <x:f>(B7+C7*Assumptions!$B$2^2)*Assumptions!$B$3</x:f>
        <x:v>10121.887999999999</x:v>
      </x:c>
      <x:c r="G7" t="n">
        <x:f>(D7+E7*Assumptions!$B$2^2)*Assumptions!$B$3</x:f>
        <x:v>7706.464</x:v>
      </x:c>
      <x:c r="H7" t="n">
        <x:f>F7-G7</x:f>
        <x:v>2415.423999999999</x:v>
      </x:c>
      <x:c r="I7" t="n">
        <x:f>H7*Assumptions!$B$4</x:f>
        <x:v>16907.967999999993</x:v>
      </x:c>
      <x:c r="J7" t="str">
        <x:v>BEE published maximum-loss scenario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7" hidden="0" customWidth="1"/>
  </x:cols>
  <x:sheetData>
    <x:row r="1" ht="29" customHeight="1">
      <x:c r="A1" s="3" t="str">
        <x:v>kVA</x:v>
      </x:c>
      <x:c r="B1" s="3" t="str">
        <x:v>CAPEX INR (assumed)</x:v>
      </x:c>
      <x:c r="C1" s="3" t="str">
        <x:v>Annual saving INR</x:v>
      </x:c>
      <x:c r="D1" s="3" t="str">
        <x:v>NPV INR</x:v>
      </x:c>
      <x:c r="E1" s="3" t="str">
        <x:v>NPV positive?</x:v>
      </x:c>
      <x:c r="F1" s="3" t="str">
        <x:v>Portfolio select (0/1)</x:v>
      </x:c>
      <x:c r="G1" s="3" t="str">
        <x:v>Portfolio CAPEX</x:v>
      </x:c>
      <x:c r="H1" s="3" t="str">
        <x:v>Portfolio NPV</x:v>
      </x:c>
      <x:c r="I1" s="3" t="str">
        <x:v>Notes</x:v>
      </x:c>
    </x:row>
    <x:row r="2">
      <x:c r="A2" t="n">
        <x:v>16</x:v>
      </x:c>
      <x:c r="B2" t="n">
        <x:v>55000</x:v>
      </x:c>
      <x:c r="C2" t="n">
        <x:f>RQ3_Distribution!I2</x:f>
        <x:v>2289.2799999999997</x:v>
      </x:c>
      <x:c r="D2" t="n">
        <x:f>-B2+C2*(1-(1+Assumptions!$B$5)^(-Assumptions!$B$6))/Assumptions!$B$5</x:f>
        <x:v>-35404.95662930391</x:v>
      </x:c>
      <x:c r="E2" t="str">
        <x:f>IF(D2&gt;0,"YES","NO")</x:f>
        <x:v>NO</x:v>
      </x:c>
      <x:c r="F2" t="n">
        <x:v>0</x:v>
      </x:c>
      <x:c r="G2" t="n">
        <x:f>B2*F2</x:f>
        <x:v>0</x:v>
      </x:c>
      <x:c r="H2" t="n">
        <x:f>D2*F2</x:f>
        <x:v>0</x:v>
      </x:c>
      <x:c r="I2" t="str">
        <x:v>Illustrative replacement CAPEX; optimizer selection requires external MILP solver</x:v>
      </x:c>
    </x:row>
    <x:row r="3">
      <x:c r="A3" t="n">
        <x:v>25</x:v>
      </x:c>
      <x:c r="B3" t="n">
        <x:v>75000</x:v>
      </x:c>
      <x:c r="C3" t="n">
        <x:f>RQ3_Distribution!I3</x:f>
        <x:v>2730.7839999999974</x:v>
      </x:c>
      <x:c r="D3" t="n">
        <x:f>-B3+C3*(1-(1+Assumptions!$B$5)^(-Assumptions!$B$6))/Assumptions!$B$5</x:f>
        <x:v>-51625.91255066968</x:v>
      </x:c>
      <x:c r="E3" t="str">
        <x:f>IF(D3&gt;0,"YES","NO")</x:f>
        <x:v>NO</x:v>
      </x:c>
      <x:c r="F3" t="n">
        <x:v>0</x:v>
      </x:c>
      <x:c r="G3" t="n">
        <x:f>B3*F3</x:f>
        <x:v>0</x:v>
      </x:c>
      <x:c r="H3" t="n">
        <x:f>D3*F3</x:f>
        <x:v>0</x:v>
      </x:c>
      <x:c r="I3" t="str">
        <x:v>Illustrative replacement CAPEX; optimizer selection requires external MILP solver</x:v>
      </x:c>
    </x:row>
    <x:row r="4">
      <x:c r="A4" t="n">
        <x:v>63</x:v>
      </x:c>
      <x:c r="B4" t="n">
        <x:v>110000</x:v>
      </x:c>
      <x:c r="C4" t="n">
        <x:f>RQ3_Distribution!I4</x:f>
        <x:v>5984.831999999995</x:v>
      </x:c>
      <x:c r="D4" t="n">
        <x:f>-B4+C4*(1-(1+Assumptions!$B$5)^(-Assumptions!$B$6))/Assumptions!$B$5</x:f>
        <x:v>-58772.95804518026</x:v>
      </x:c>
      <x:c r="E4" t="str">
        <x:f>IF(D4&gt;0,"YES","NO")</x:f>
        <x:v>NO</x:v>
      </x:c>
      <x:c r="F4" t="n">
        <x:v>0</x:v>
      </x:c>
      <x:c r="G4" t="n">
        <x:f>B4*F4</x:f>
        <x:v>0</x:v>
      </x:c>
      <x:c r="H4" t="n">
        <x:f>D4*F4</x:f>
        <x:v>0</x:v>
      </x:c>
      <x:c r="I4" t="str">
        <x:v>Illustrative replacement CAPEX; optimizer selection requires external MILP solver</x:v>
      </x:c>
    </x:row>
    <x:row r="5">
      <x:c r="A5" t="n">
        <x:v>100</x:v>
      </x:c>
      <x:c r="B5" t="n">
        <x:v>150000</x:v>
      </x:c>
      <x:c r="C5" t="n">
        <x:f>RQ3_Distribution!I5</x:f>
        <x:v>7145.824000000009</x:v>
      </x:c>
      <x:c r="D5" t="n">
        <x:f>-B5+C5*(1-(1+Assumptions!$B$5)^(-Assumptions!$B$6))/Assumptions!$B$5</x:f>
        <x:v>-88835.47176432711</x:v>
      </x:c>
      <x:c r="E5" t="str">
        <x:f>IF(D5&gt;0,"YES","NO")</x:f>
        <x:v>NO</x:v>
      </x:c>
      <x:c r="F5" t="n">
        <x:v>0</x:v>
      </x:c>
      <x:c r="G5" t="n">
        <x:f>B5*F5</x:f>
        <x:v>0</x:v>
      </x:c>
      <x:c r="H5" t="n">
        <x:f>D5*F5</x:f>
        <x:v>0</x:v>
      </x:c>
      <x:c r="I5" t="str">
        <x:v>Illustrative replacement CAPEX; optimizer selection requires external MILP solver</x:v>
      </x:c>
    </x:row>
    <x:row r="6">
      <x:c r="A6" t="n">
        <x:v>160</x:v>
      </x:c>
      <x:c r="B6" t="n">
        <x:v>225000</x:v>
      </x:c>
      <x:c r="C6" t="n">
        <x:f>RQ3_Distribution!I6</x:f>
        <x:v>14962.079999999998</x:v>
      </x:c>
      <x:c r="D6" t="n">
        <x:f>-B6+C6*(1-(1+Assumptions!$B$5)^(-Assumptions!$B$6))/Assumptions!$B$5</x:f>
        <x:v>-96932.39511295053</x:v>
      </x:c>
      <x:c r="E6" t="str">
        <x:f>IF(D6&gt;0,"YES","NO")</x:f>
        <x:v>NO</x:v>
      </x:c>
      <x:c r="F6" t="n">
        <x:v>0</x:v>
      </x:c>
      <x:c r="G6" t="n">
        <x:f>B6*F6</x:f>
        <x:v>0</x:v>
      </x:c>
      <x:c r="H6" t="n">
        <x:f>D6*F6</x:f>
        <x:v>0</x:v>
      </x:c>
      <x:c r="I6" t="str">
        <x:v>Illustrative replacement CAPEX; optimizer selection requires external MILP solver</x:v>
      </x:c>
    </x:row>
    <x:row r="7">
      <x:c r="A7" t="n">
        <x:v>200</x:v>
      </x:c>
      <x:c r="B7" t="n">
        <x:v>280000</x:v>
      </x:c>
      <x:c r="C7" t="n">
        <x:f>RQ3_Distribution!I7</x:f>
        <x:v>16907.967999999993</x:v>
      </x:c>
      <x:c r="D7" t="n">
        <x:f>-B7+C7*(1-(1+Assumptions!$B$5)^(-Assumptions!$B$6))/Assumptions!$B$5</x:f>
        <x:v>-135276.6082478589</x:v>
      </x:c>
      <x:c r="E7" t="str">
        <x:f>IF(D7&gt;0,"YES","NO")</x:f>
        <x:v>NO</x:v>
      </x:c>
      <x:c r="F7" t="n">
        <x:v>0</x:v>
      </x:c>
      <x:c r="G7" t="n">
        <x:f>B7*F7</x:f>
        <x:v>0</x:v>
      </x:c>
      <x:c r="H7" t="n">
        <x:f>D7*F7</x:f>
        <x:v>0</x:v>
      </x:c>
      <x:c r="I7" t="str">
        <x:v>Illustrative replacement CAPEX; optimizer selection requires external MILP solver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8" hidden="0" customWidth="1"/>
  </x:cols>
  <x:sheetData>
    <x:row r="1" ht="29" customHeight="1">
      <x:c r="A1" s="3" t="str">
        <x:v>Metric</x:v>
      </x:c>
      <x:c r="B1" s="3" t="str">
        <x:v>Value</x:v>
      </x:c>
      <x:c r="C1" s="3" t="str">
        <x:v>Interpretation</x:v>
      </x:c>
    </x:row>
    <x:row r="2">
      <x:c r="A2" t="str">
        <x:v>Selected cost INR</x:v>
      </x:c>
      <x:c r="B2" t="n">
        <x:f>SUM(RQ4_Distribution!G2:G7)</x:f>
        <x:v>0</x:v>
      </x:c>
      <x:c r="C2" t="str">
        <x:v>Must be &lt;= assumed budget</x:v>
      </x:c>
    </x:row>
    <x:row r="3">
      <x:c r="A3" t="str">
        <x:v>Selected portfolio NPV INR</x:v>
      </x:c>
      <x:c r="B3" t="n">
        <x:f>SUM(RQ4_Distribution!H2:H7)</x:f>
        <x:v>0</x:v>
      </x:c>
      <x:c r="C3" t="str">
        <x:v>Maximize via MILP with binary F2:F7</x:v>
      </x:c>
    </x:row>
    <x:row r="4">
      <x:c r="A4" t="str">
        <x:v>Budget INR</x:v>
      </x:c>
      <x:c r="B4" t="n">
        <x:f>Assumptions!B7</x:f>
        <x:v>800000</x:v>
      </x:c>
      <x:c r="C4" t="str">
        <x:v>From assumptions</x:v>
      </x:c>
    </x:row>
    <x:row r="5">
      <x:c r="A5" t="str">
        <x:v>Portfolio status</x:v>
      </x:c>
      <x:c r="B5" t="str">
        <x:v>Not optimized</x:v>
      </x:c>
      <x:c r="C5" t="str">
        <x:v>Selections default zero; do not present as solved MILP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9" customHeight="1">
      <x:c r="A1" s="3" t="str">
        <x:v>Power_ID</x:v>
      </x:c>
      <x:c r="B1" s="3" t="str">
        <x:v>MVA</x:v>
      </x:c>
      <x:c r="C1" s="3" t="str">
        <x:v>HV_kV</x:v>
      </x:c>
      <x:c r="D1" s="3" t="str">
        <x:v>LV_kV</x:v>
      </x:c>
      <x:c r="E1" s="3" t="str">
        <x:v>P0_kW</x:v>
      </x:c>
      <x:c r="F1" s="3" t="str">
        <x:v>PLL_kW</x:v>
      </x:c>
      <x:c r="G1" s="3" t="str">
        <x:v>Test temp C</x:v>
      </x:c>
      <x:c r="H1" s="3" t="str">
        <x:v>Source URL</x:v>
      </x:c>
      <x:c r="I1" s="3" t="str">
        <x:v>Evidence type</x:v>
      </x:c>
      <x:c r="J1" s="3" t="str">
        <x:v>Replacement P0 kW</x:v>
      </x:c>
      <x:c r="K1" s="3" t="str">
        <x:v>Replacement PLL kW</x:v>
      </x:c>
      <x:c r="L1" s="3" t="str">
        <x:v>CAPEX INR</x:v>
      </x:c>
      <x:c r="M1" s="3" t="str">
        <x:v>Status</x:v>
      </x:c>
    </x:row>
    <x:row r="2">
      <x:c r="A2" t="str">
        <x:v>POWER_01</x:v>
      </x:c>
      <x:c r="B2"/>
      <x:c r="C2"/>
      <x:c r="D2"/>
      <x:c r="E2"/>
      <x:c r="F2"/>
      <x:c r="G2"/>
      <x:c r="H2"/>
      <x:c r="I2" t="str">
        <x:v>Pending public specification verification</x:v>
      </x:c>
      <x:c r="J2"/>
      <x:c r="K2"/>
      <x:c r="L2"/>
      <x:c r="M2" t="str">
        <x:v>NOT CALCULATED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65" hidden="0" customWidth="1"/>
  </x:cols>
  <x:sheetData>
    <x:row r="1" ht="29" customHeight="1">
      <x:c r="A1" s="3" t="str">
        <x:v>Power_ID</x:v>
      </x:c>
      <x:c r="B1" s="3" t="str">
        <x:v>Annual baseline kWh</x:v>
      </x:c>
      <x:c r="C1" s="3" t="str">
        <x:v>Annual replacement kWh</x:v>
      </x:c>
      <x:c r="D1" s="3" t="str">
        <x:v>Saved kWh</x:v>
      </x:c>
      <x:c r="E1" s="3" t="str">
        <x:v>Readiness</x:v>
      </x:c>
    </x:row>
    <x:row r="2">
      <x:c r="A2" t="str">
        <x:v>POWER_01</x:v>
      </x:c>
      <x:c r="B2"/>
      <x:c r="C2"/>
      <x:c r="D2"/>
      <x:c r="E2" t="str">
        <x:v>Pending verified matched power-transformer loss specifications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15" hidden="0" customWidth="1"/>
  </x:cols>
  <x:sheetData>
    <x:row r="1" ht="29" customHeight="1">
      <x:c r="A1" s="3" t="str">
        <x:v>Topic</x:v>
      </x:c>
      <x:c r="B1" s="3" t="str">
        <x:v>Explanation</x:v>
      </x:c>
    </x:row>
    <x:row r="2">
      <x:c r="A2" t="str">
        <x:v>Distribution benchmark</x:v>
      </x:c>
      <x:c r="B2" t="str">
        <x:v>Historical BEE published maximum total losses at 50% and 100% loading: https://sidhiee.beeindia.gov.in/images/DigitalLibrary/637877968963725337.pdf</x:v>
      </x:c>
    </x:row>
    <x:row r="3">
      <x:c r="A3" t="str">
        <x:v>Engineering inversion</x:v>
      </x:c>
      <x:c r="B3" t="str">
        <x:v>P0=(4*L50-L100)/3; PLL=4*(L100-L50)/3, with L values in kW; model assumes total loss = P0 + x^2 PLL</x:v>
      </x:c>
    </x:row>
    <x:row r="4">
      <x:c r="A4" t="str">
        <x:v>Scope caution</x:v>
      </x:c>
      <x:c r="B4" t="str">
        <x:v>Historical benchmark; verify applicable current star-rating standards before regulatory claims</x:v>
      </x:c>
    </x:row>
    <x:row r="5">
      <x:c r="A5" t="str">
        <x:v>Savings caution</x:v>
      </x:c>
      <x:c r="B5" t="str">
        <x:v>Maximum-loss benchmarks do not establish actual OEM efficiency or realized energy savings</x:v>
      </x:c>
    </x:row>
    <x:row r="6">
      <x:c r="A6" t="str">
        <x:v>Power transformers</x:v>
      </x:c>
      <x:c r="B6" t="str">
        <x:v>Separate model remains pending source-verified power transformer specs; do not extrapolate BEE distribution ratings</x:v>
      </x:c>
    </x:row>
    <x:row r="7">
      <x:c r="A7" t="str">
        <x:v>RQ4 costs</x:v>
      </x:c>
      <x:c r="B7" t="str">
        <x:v>Assumed INR figures, not OEM quotations or utility CAPEX</x:v>
      </x:c>
    </x:row>
    <x:row r="8">
      <x:c r="A8" t="str">
        <x:v>RQ4 optimization</x:v>
      </x:c>
      <x:c r="B8" t="str">
        <x:v>Binary F column is a decision input. Workbook does not solve MILP automatically; use scipy.optimize.milp or another exact solver</x:v>
      </x:c>
    </x:row>
    <x:row r="9">
      <x:c r="A9" t="str">
        <x:v>Monte Carlo</x:v>
      </x:c>
      <x:c r="B9" t="str">
        <x:v>Not yet executed; parameter is documented only. Do not report Monte Carlo results from this workbook</x:v>
      </x:c>
    </x:row>
    <x:row r="10">
      <x:c r="A10" t="str">
        <x:v>Privacy</x:v>
      </x:c>
      <x:c r="B10" t="str">
        <x:v>No proprietary OEM or utility data included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3" customHeight="1">
      <x:c r="A1" s="11" t="str">
        <x:v>Transformer kVA</x:v>
      </x:c>
      <x:c r="B1" s="11" t="str">
        <x:v>Loading fraction</x:v>
      </x:c>
      <x:c r="C1" s="11" t="str">
        <x:v>Baseline kWh/yr</x:v>
      </x:c>
      <x:c r="D1" s="11" t="str">
        <x:v>Upgrade kWh/yr</x:v>
      </x:c>
      <x:c r="E1" s="11" t="str">
        <x:v>Saved kWh/yr</x:v>
      </x:c>
      <x:c r="F1" s="11" t="str">
        <x:v>Annual value INR</x:v>
      </x:c>
      <x:c r="G1" s="11" t="str">
        <x:v>Evidence class</x:v>
      </x:c>
    </x:row>
    <x:row r="2" ht="23" customHeight="1">
      <x:c r="A2" t="n">
        <x:v>16</x:v>
      </x:c>
      <x:c r="B2" s="7" t="n">
        <x:v>0.25</x:v>
      </x:c>
      <x:c r="C2" t="n">
        <x:f>('RQ3_Distribution'!B2+'RQ3_Distribution'!C2*B2^2)*Assumptions!$B$3</x:f>
        <x:v>591.3000000000001</x:v>
      </x:c>
      <x:c r="D2" t="n">
        <x:f>('RQ3_Distribution'!D2+'RQ3_Distribution'!E2*B2^2)*Assumptions!$B$3</x:f>
        <x:v>438</x:v>
      </x:c>
      <x:c r="E2" t="n">
        <x:f>C2-D2</x:f>
        <x:v>153.30000000000007</x:v>
      </x:c>
      <x:c r="F2" t="n">
        <x:f>E2*Assumptions!$B$4</x:f>
        <x:v>1073.1000000000004</x:v>
      </x:c>
      <x:c r="G2" t="str">
        <x:v>Historical BEE limits + constant-loading scenario</x:v>
      </x:c>
    </x:row>
    <x:row r="3" ht="23" customHeight="1">
      <x:c r="A3" t="n">
        <x:v>16</x:v>
      </x:c>
      <x:c r="B3" s="7" t="n">
        <x:v>0.5</x:v>
      </x:c>
      <x:c r="C3" t="n">
        <x:f>('RQ3_Distribution'!B2+'RQ3_Distribution'!C2*B3^2)*Assumptions!$B$3</x:f>
        <x:v>1314</x:v>
      </x:c>
      <x:c r="D3" t="n">
        <x:f>('RQ3_Distribution'!D2+'RQ3_Distribution'!E2*B3^2)*Assumptions!$B$3</x:f>
        <x:v>1051.2</x:v>
      </x:c>
      <x:c r="E3" t="n">
        <x:f>C3-D3</x:f>
        <x:v>262.79999999999995</x:v>
      </x:c>
      <x:c r="F3" t="n">
        <x:f>E3*Assumptions!$B$4</x:f>
        <x:v>1839.5999999999997</x:v>
      </x:c>
      <x:c r="G3" t="str">
        <x:v>Historical BEE limits + constant-loading scenario</x:v>
      </x:c>
    </x:row>
    <x:row r="4" ht="23" customHeight="1">
      <x:c r="A4" t="n">
        <x:v>16</x:v>
      </x:c>
      <x:c r="B4" s="7" t="n">
        <x:v>0.6</x:v>
      </x:c>
      <x:c r="C4" t="n">
        <x:f>('RQ3_Distribution'!B2+'RQ3_Distribution'!C2*B4^2)*Assumptions!$B$3</x:f>
        <x:v>1737.984</x:v>
      </x:c>
      <x:c r="D4" t="n">
        <x:f>('RQ3_Distribution'!D2+'RQ3_Distribution'!E2*B4^2)*Assumptions!$B$3</x:f>
        <x:v>1410.944</x:v>
      </x:c>
      <x:c r="E4" t="n">
        <x:f>C4-D4</x:f>
        <x:v>327.03999999999996</x:v>
      </x:c>
      <x:c r="F4" t="n">
        <x:f>E4*Assumptions!$B$4</x:f>
        <x:v>2289.2799999999997</x:v>
      </x:c>
      <x:c r="G4" t="str">
        <x:v>Historical BEE limits + constant-loading scenario</x:v>
      </x:c>
    </x:row>
    <x:row r="5" ht="23" customHeight="1">
      <x:c r="A5" t="n">
        <x:v>16</x:v>
      </x:c>
      <x:c r="B5" s="7" t="n">
        <x:v>0.75</x:v>
      </x:c>
      <x:c r="C5" t="n">
        <x:f>('RQ3_Distribution'!B2+'RQ3_Distribution'!C2*B5^2)*Assumptions!$B$3</x:f>
        <x:v>2518.5</x:v>
      </x:c>
      <x:c r="D5" t="n">
        <x:f>('RQ3_Distribution'!D2+'RQ3_Distribution'!E2*B5^2)*Assumptions!$B$3</x:f>
        <x:v>2073.2000000000003</x:v>
      </x:c>
      <x:c r="E5" t="n">
        <x:f>C5-D5</x:f>
        <x:v>445.2999999999997</x:v>
      </x:c>
      <x:c r="F5" t="n">
        <x:f>E5*Assumptions!$B$4</x:f>
        <x:v>3117.099999999998</x:v>
      </x:c>
      <x:c r="G5" t="str">
        <x:v>Historical BEE limits + constant-loading scenario</x:v>
      </x:c>
    </x:row>
    <x:row r="6" ht="23" customHeight="1">
      <x:c r="A6" t="n">
        <x:v>16</x:v>
      </x:c>
      <x:c r="B6" s="7" t="n">
        <x:v>1</x:v>
      </x:c>
      <x:c r="C6" t="n">
        <x:f>('RQ3_Distribution'!B2+'RQ3_Distribution'!C2*B6^2)*Assumptions!$B$3</x:f>
        <x:v>4204.8</x:v>
      </x:c>
      <x:c r="D6" t="n">
        <x:f>('RQ3_Distribution'!D2+'RQ3_Distribution'!E2*B6^2)*Assumptions!$B$3</x:f>
        <x:v>3504</x:v>
      </x:c>
      <x:c r="E6" t="n">
        <x:f>C6-D6</x:f>
        <x:v>700.8000000000002</x:v>
      </x:c>
      <x:c r="F6" t="n">
        <x:f>E6*Assumptions!$B$4</x:f>
        <x:v>4905.600000000001</x:v>
      </x:c>
      <x:c r="G6" t="str">
        <x:v>Historical BEE limits + constant-loading scenario</x:v>
      </x:c>
    </x:row>
    <x:row r="7" ht="23" customHeight="1">
      <x:c r="A7" t="n">
        <x:v>25</x:v>
      </x:c>
      <x:c r="B7" s="7" t="n">
        <x:v>0.25</x:v>
      </x:c>
      <x:c r="C7" t="n">
        <x:f>('RQ3_Distribution'!B3+'RQ3_Distribution'!C3*B7^2)*Assumptions!$B$3</x:f>
        <x:v>777.4499999999999</x:v>
      </x:c>
      <x:c r="D7" t="n">
        <x:f>('RQ3_Distribution'!D3+'RQ3_Distribution'!E3*B7^2)*Assumptions!$B$3</x:f>
        <x:v>613.2</x:v>
      </x:c>
      <x:c r="E7" t="n">
        <x:f>C7-D7</x:f>
        <x:v>164.2499999999999</x:v>
      </x:c>
      <x:c r="F7" t="n">
        <x:f>E7*Assumptions!$B$4</x:f>
        <x:v>1149.749999999999</x:v>
      </x:c>
      <x:c r="G7" t="str">
        <x:v>Historical BEE limits + constant-loading scenario</x:v>
      </x:c>
    </x:row>
    <x:row r="8" ht="23" customHeight="1">
      <x:c r="A8" t="n">
        <x:v>25</x:v>
      </x:c>
      <x:c r="B8" s="7" t="n">
        <x:v>0.5</x:v>
      </x:c>
      <x:c r="C8" t="n">
        <x:f>('RQ3_Distribution'!B3+'RQ3_Distribution'!C3*B8^2)*Assumptions!$B$3</x:f>
        <x:v>1839.6</x:v>
      </x:c>
      <x:c r="D8" t="n">
        <x:f>('RQ3_Distribution'!D3+'RQ3_Distribution'!E3*B8^2)*Assumptions!$B$3</x:f>
        <x:v>1533.0000000000002</x:v>
      </x:c>
      <x:c r="E8" t="n">
        <x:f>C8-D8</x:f>
        <x:v>306.5999999999997</x:v>
      </x:c>
      <x:c r="F8" t="n">
        <x:f>E8*Assumptions!$B$4</x:f>
        <x:v>2146.199999999998</x:v>
      </x:c>
      <x:c r="G8" t="str">
        <x:v>Historical BEE limits + constant-loading scenario</x:v>
      </x:c>
    </x:row>
    <x:row r="9" ht="23" customHeight="1">
      <x:c r="A9" t="n">
        <x:v>25</x:v>
      </x:c>
      <x:c r="B9" s="7" t="n">
        <x:v>0.6</x:v>
      </x:c>
      <x:c r="C9" t="n">
        <x:f>('RQ3_Distribution'!B3+'RQ3_Distribution'!C3*B9^2)*Assumptions!$B$3</x:f>
        <x:v>2462.7279999999996</x:v>
      </x:c>
      <x:c r="D9" t="n">
        <x:f>('RQ3_Distribution'!D3+'RQ3_Distribution'!E3*B9^2)*Assumptions!$B$3</x:f>
        <x:v>2072.616</x:v>
      </x:c>
      <x:c r="E9" t="n">
        <x:f>C9-D9</x:f>
        <x:v>390.1119999999996</x:v>
      </x:c>
      <x:c r="F9" t="n">
        <x:f>E9*Assumptions!$B$4</x:f>
        <x:v>2730.7839999999974</x:v>
      </x:c>
      <x:c r="G9" t="str">
        <x:v>Historical BEE limits + constant-loading scenario</x:v>
      </x:c>
    </x:row>
    <x:row r="10" ht="23" customHeight="1">
      <x:c r="A10" t="n">
        <x:v>25</x:v>
      </x:c>
      <x:c r="B10" s="7" t="n">
        <x:v>0.75</x:v>
      </x:c>
      <x:c r="C10" t="n">
        <x:f>('RQ3_Distribution'!B3+'RQ3_Distribution'!C3*B10^2)*Assumptions!$B$3</x:f>
        <x:v>3609.85</x:v>
      </x:c>
      <x:c r="D10" t="n">
        <x:f>('RQ3_Distribution'!D3+'RQ3_Distribution'!E3*B10^2)*Assumptions!$B$3</x:f>
        <x:v>3066.000000000001</x:v>
      </x:c>
      <x:c r="E10" t="n">
        <x:f>C10-D10</x:f>
        <x:v>543.849999999999</x:v>
      </x:c>
      <x:c r="F10" t="n">
        <x:f>E10*Assumptions!$B$4</x:f>
        <x:v>3806.949999999993</x:v>
      </x:c>
      <x:c r="G10" t="str">
        <x:v>Historical BEE limits + constant-loading scenario</x:v>
      </x:c>
    </x:row>
    <x:row r="11" ht="23" customHeight="1">
      <x:c r="A11" t="n">
        <x:v>25</x:v>
      </x:c>
      <x:c r="B11" s="7" t="n">
        <x:v>1</x:v>
      </x:c>
      <x:c r="C11" t="n">
        <x:f>('RQ3_Distribution'!B3+'RQ3_Distribution'!C3*B11^2)*Assumptions!$B$3</x:f>
        <x:v>6088.2</x:v>
      </x:c>
      <x:c r="D11" t="n">
        <x:f>('RQ3_Distribution'!D3+'RQ3_Distribution'!E3*B11^2)*Assumptions!$B$3</x:f>
        <x:v>5212.200000000001</x:v>
      </x:c>
      <x:c r="E11" t="n">
        <x:f>C11-D11</x:f>
        <x:v>875.9999999999991</x:v>
      </x:c>
      <x:c r="F11" t="n">
        <x:f>E11*Assumptions!$B$4</x:f>
        <x:v>6131.999999999994</x:v>
      </x:c>
      <x:c r="G11" t="str">
        <x:v>Historical BEE limits + constant-loading scenario</x:v>
      </x:c>
    </x:row>
    <x:row r="12" ht="23" customHeight="1">
      <x:c r="A12" t="n">
        <x:v>63</x:v>
      </x:c>
      <x:c r="B12" s="7" t="n">
        <x:v>0.25</x:v>
      </x:c>
      <x:c r="C12" t="n">
        <x:f>('RQ3_Distribution'!B4+'RQ3_Distribution'!C4*B12^2)*Assumptions!$B$3</x:f>
        <x:v>1423.4999999999998</x:v>
      </x:c>
      <x:c r="D12" t="n">
        <x:f>('RQ3_Distribution'!D4+'RQ3_Distribution'!E4*B12^2)*Assumptions!$B$3</x:f>
        <x:v>985.5</x:v>
      </x:c>
      <x:c r="E12" t="n">
        <x:f>C12-D12</x:f>
        <x:v>437.9999999999998</x:v>
      </x:c>
      <x:c r="F12" t="n">
        <x:f>E12*Assumptions!$B$4</x:f>
        <x:v>3065.999999999998</x:v>
      </x:c>
      <x:c r="G12" t="str">
        <x:v>Historical BEE limits + constant-loading scenario</x:v>
      </x:c>
    </x:row>
    <x:row r="13" ht="23" customHeight="1">
      <x:c r="A13" t="n">
        <x:v>63</x:v>
      </x:c>
      <x:c r="B13" s="7" t="n">
        <x:v>0.5</x:v>
      </x:c>
      <x:c r="C13" t="n">
        <x:f>('RQ3_Distribution'!B4+'RQ3_Distribution'!C4*B13^2)*Assumptions!$B$3</x:f>
        <x:v>3328.8</x:v>
      </x:c>
      <x:c r="D13" t="n">
        <x:f>('RQ3_Distribution'!D4+'RQ3_Distribution'!E4*B13^2)*Assumptions!$B$3</x:f>
        <x:v>2628</x:v>
      </x:c>
      <x:c r="E13" t="n">
        <x:f>C13-D13</x:f>
        <x:v>700.8000000000002</x:v>
      </x:c>
      <x:c r="F13" t="n">
        <x:f>E13*Assumptions!$B$4</x:f>
        <x:v>4905.600000000001</x:v>
      </x:c>
      <x:c r="G13" t="str">
        <x:v>Historical BEE limits + constant-loading scenario</x:v>
      </x:c>
    </x:row>
    <x:row r="14" ht="23" customHeight="1">
      <x:c r="A14" t="n">
        <x:v>63</x:v>
      </x:c>
      <x:c r="B14" s="7" t="n">
        <x:v>0.6</x:v>
      </x:c>
      <x:c r="C14" t="n">
        <x:f>('RQ3_Distribution'!B4+'RQ3_Distribution'!C4*B14^2)*Assumptions!$B$3</x:f>
        <x:v>4446.575999999999</x:v>
      </x:c>
      <x:c r="D14" t="n">
        <x:f>('RQ3_Distribution'!D4+'RQ3_Distribution'!E4*B14^2)*Assumptions!$B$3</x:f>
        <x:v>3591.6</x:v>
      </x:c>
      <x:c r="E14" t="n">
        <x:f>C14-D14</x:f>
        <x:v>854.9759999999992</x:v>
      </x:c>
      <x:c r="F14" t="n">
        <x:f>E14*Assumptions!$B$4</x:f>
        <x:v>5984.831999999995</x:v>
      </x:c>
      <x:c r="G14" t="str">
        <x:v>Historical BEE limits + constant-loading scenario</x:v>
      </x:c>
    </x:row>
    <x:row r="15" ht="23" customHeight="1">
      <x:c r="A15" t="n">
        <x:v>63</x:v>
      </x:c>
      <x:c r="B15" s="7" t="n">
        <x:v>0.75</x:v>
      </x:c>
      <x:c r="C15" t="n">
        <x:f>('RQ3_Distribution'!B4+'RQ3_Distribution'!C4*B15^2)*Assumptions!$B$3</x:f>
        <x:v>6504.299999999999</x:v>
      </x:c>
      <x:c r="D15" t="n">
        <x:f>('RQ3_Distribution'!D4+'RQ3_Distribution'!E4*B15^2)*Assumptions!$B$3</x:f>
        <x:v>5365.5</x:v>
      </x:c>
      <x:c r="E15" t="n">
        <x:f>C15-D15</x:f>
        <x:v>1138.7999999999993</x:v>
      </x:c>
      <x:c r="F15" t="n">
        <x:f>E15*Assumptions!$B$4</x:f>
        <x:v>7971.599999999995</x:v>
      </x:c>
      <x:c r="G15" t="str">
        <x:v>Historical BEE limits + constant-loading scenario</x:v>
      </x:c>
    </x:row>
    <x:row r="16" ht="23" customHeight="1">
      <x:c r="A16" t="n">
        <x:v>63</x:v>
      </x:c>
      <x:c r="B16" s="7" t="n">
        <x:v>1</x:v>
      </x:c>
      <x:c r="C16" t="n">
        <x:f>('RQ3_Distribution'!B4+'RQ3_Distribution'!C4*B16^2)*Assumptions!$B$3</x:f>
        <x:v>10950</x:v>
      </x:c>
      <x:c r="D16" t="n">
        <x:f>('RQ3_Distribution'!D4+'RQ3_Distribution'!E4*B16^2)*Assumptions!$B$3</x:f>
        <x:v>9198</x:v>
      </x:c>
      <x:c r="E16" t="n">
        <x:f>C16-D16</x:f>
        <x:v>1752</x:v>
      </x:c>
      <x:c r="F16" t="n">
        <x:f>E16*Assumptions!$B$4</x:f>
        <x:v>12264</x:v>
      </x:c>
      <x:c r="G16" t="str">
        <x:v>Historical BEE limits + constant-loading scenario</x:v>
      </x:c>
    </x:row>
    <x:row r="17" ht="23" customHeight="1">
      <x:c r="A17" t="n">
        <x:v>100</x:v>
      </x:c>
      <x:c r="B17" s="7" t="n">
        <x:v>0.25</x:v>
      </x:c>
      <x:c r="C17" t="n">
        <x:f>('RQ3_Distribution'!B5+'RQ3_Distribution'!C5*B17^2)*Assumptions!$B$3</x:f>
        <x:v>1752</x:v>
      </x:c>
      <x:c r="D17" t="n">
        <x:f>('RQ3_Distribution'!D5+'RQ3_Distribution'!E5*B17^2)*Assumptions!$B$3</x:f>
        <x:v>1478.25</x:v>
      </x:c>
      <x:c r="E17" t="n">
        <x:f>C17-D17</x:f>
        <x:v>273.75</x:v>
      </x:c>
      <x:c r="F17" t="n">
        <x:f>E17*Assumptions!$B$4</x:f>
        <x:v>1916.25</x:v>
      </x:c>
      <x:c r="G17" t="str">
        <x:v>Historical BEE limits + constant-loading scenario</x:v>
      </x:c>
    </x:row>
    <x:row r="18" ht="23" customHeight="1">
      <x:c r="A18" t="n">
        <x:v>100</x:v>
      </x:c>
      <x:c r="B18" s="7" t="n">
        <x:v>0.5</x:v>
      </x:c>
      <x:c r="C18" t="n">
        <x:f>('RQ3_Distribution'!B5+'RQ3_Distribution'!C5*B18^2)*Assumptions!$B$3</x:f>
        <x:v>4555.2</x:v>
      </x:c>
      <x:c r="D18" t="n">
        <x:f>('RQ3_Distribution'!D5+'RQ3_Distribution'!E5*B18^2)*Assumptions!$B$3</x:f>
        <x:v>3810.6</x:v>
      </x:c>
      <x:c r="E18" t="n">
        <x:f>C18-D18</x:f>
        <x:v>744.5999999999999</x:v>
      </x:c>
      <x:c r="F18" t="n">
        <x:f>E18*Assumptions!$B$4</x:f>
        <x:v>5212.199999999999</x:v>
      </x:c>
      <x:c r="G18" t="str">
        <x:v>Historical BEE limits + constant-loading scenario</x:v>
      </x:c>
    </x:row>
    <x:row r="19" ht="23" customHeight="1">
      <x:c r="A19" t="n">
        <x:v>100</x:v>
      </x:c>
      <x:c r="B19" s="7" t="n">
        <x:v>0.6</x:v>
      </x:c>
      <x:c r="C19" t="n">
        <x:f>('RQ3_Distribution'!B5+'RQ3_Distribution'!C5*B19^2)*Assumptions!$B$3</x:f>
        <x:v>6199.744000000001</x:v>
      </x:c>
      <x:c r="D19" t="n">
        <x:f>('RQ3_Distribution'!D5+'RQ3_Distribution'!E5*B19^2)*Assumptions!$B$3</x:f>
        <x:v>5178.911999999999</x:v>
      </x:c>
      <x:c r="E19" t="n">
        <x:f>C19-D19</x:f>
        <x:v>1020.8320000000012</x:v>
      </x:c>
      <x:c r="F19" t="n">
        <x:f>E19*Assumptions!$B$4</x:f>
        <x:v>7145.824000000009</x:v>
      </x:c>
      <x:c r="G19" t="str">
        <x:v>Historical BEE limits + constant-loading scenario</x:v>
      </x:c>
    </x:row>
    <x:row r="20" ht="23" customHeight="1">
      <x:c r="A20" t="n">
        <x:v>100</x:v>
      </x:c>
      <x:c r="B20" s="7" t="n">
        <x:v>0.75</x:v>
      </x:c>
      <x:c r="C20" t="n">
        <x:f>('RQ3_Distribution'!B5+'RQ3_Distribution'!C5*B20^2)*Assumptions!$B$3</x:f>
        <x:v>9227.2</x:v>
      </x:c>
      <x:c r="D20" t="n">
        <x:f>('RQ3_Distribution'!D5+'RQ3_Distribution'!E5*B20^2)*Assumptions!$B$3</x:f>
        <x:v>7697.849999999999</x:v>
      </x:c>
      <x:c r="E20" t="n">
        <x:f>C20-D20</x:f>
        <x:v>1529.3500000000013</x:v>
      </x:c>
      <x:c r="F20" t="n">
        <x:f>E20*Assumptions!$B$4</x:f>
        <x:v>10705.450000000008</x:v>
      </x:c>
      <x:c r="G20" t="str">
        <x:v>Historical BEE limits + constant-loading scenario</x:v>
      </x:c>
    </x:row>
    <x:row r="21" ht="23" customHeight="1">
      <x:c r="A21" t="n">
        <x:v>100</x:v>
      </x:c>
      <x:c r="B21" s="7" t="n">
        <x:v>1</x:v>
      </x:c>
      <x:c r="C21" t="n">
        <x:f>('RQ3_Distribution'!B5+'RQ3_Distribution'!C5*B21^2)*Assumptions!$B$3</x:f>
        <x:v>15768</x:v>
      </x:c>
      <x:c r="D21" t="n">
        <x:f>('RQ3_Distribution'!D5+'RQ3_Distribution'!E5*B21^2)*Assumptions!$B$3</x:f>
        <x:v>13140</x:v>
      </x:c>
      <x:c r="E21" t="n">
        <x:f>C21-D21</x:f>
        <x:v>2628</x:v>
      </x:c>
      <x:c r="F21" t="n">
        <x:f>E21*Assumptions!$B$4</x:f>
        <x:v>18396</x:v>
      </x:c>
      <x:c r="G21" t="str">
        <x:v>Historical BEE limits + constant-loading scenario</x:v>
      </x:c>
    </x:row>
    <x:row r="22" ht="23" customHeight="1">
      <x:c r="A22" t="n">
        <x:v>160</x:v>
      </x:c>
      <x:c r="B22" s="7" t="n">
        <x:v>0.25</x:v>
      </x:c>
      <x:c r="C22" t="n">
        <x:f>('RQ3_Distribution'!B6+'RQ3_Distribution'!C6*B22^2)*Assumptions!$B$3</x:f>
        <x:v>3613.5</x:v>
      </x:c>
      <x:c r="D22" t="n">
        <x:f>('RQ3_Distribution'!D6+'RQ3_Distribution'!E6*B22^2)*Assumptions!$B$3</x:f>
        <x:v>2518.5</x:v>
      </x:c>
      <x:c r="E22" t="n">
        <x:f>C22-D22</x:f>
        <x:v>1095</x:v>
      </x:c>
      <x:c r="F22" t="n">
        <x:f>E22*Assumptions!$B$4</x:f>
        <x:v>7665</x:v>
      </x:c>
      <x:c r="G22" t="str">
        <x:v>Historical BEE limits + constant-loading scenario</x:v>
      </x:c>
    </x:row>
    <x:row r="23" ht="23" customHeight="1">
      <x:c r="A23" t="n">
        <x:v>160</x:v>
      </x:c>
      <x:c r="B23" s="7" t="n">
        <x:v>0.5</x:v>
      </x:c>
      <x:c r="C23" t="n">
        <x:f>('RQ3_Distribution'!B6+'RQ3_Distribution'!C6*B23^2)*Assumptions!$B$3</x:f>
        <x:v>6745.2</x:v>
      </x:c>
      <x:c r="D23" t="n">
        <x:f>('RQ3_Distribution'!D6+'RQ3_Distribution'!E6*B23^2)*Assumptions!$B$3</x:f>
        <x:v>4993.2</x:v>
      </x:c>
      <x:c r="E23" t="n">
        <x:f>C23-D23</x:f>
        <x:v>1752</x:v>
      </x:c>
      <x:c r="F23" t="n">
        <x:f>E23*Assumptions!$B$4</x:f>
        <x:v>12264</x:v>
      </x:c>
      <x:c r="G23" t="str">
        <x:v>Historical BEE limits + constant-loading scenario</x:v>
      </x:c>
    </x:row>
    <x:row r="24" ht="23" customHeight="1">
      <x:c r="A24" t="n">
        <x:v>160</x:v>
      </x:c>
      <x:c r="B24" s="7" t="n">
        <x:v>0.6</x:v>
      </x:c>
      <x:c r="C24" t="n">
        <x:f>('RQ3_Distribution'!B6+'RQ3_Distribution'!C6*B24^2)*Assumptions!$B$3</x:f>
        <x:v>8582.464</x:v>
      </x:c>
      <x:c r="D24" t="n">
        <x:f>('RQ3_Distribution'!D6+'RQ3_Distribution'!E6*B24^2)*Assumptions!$B$3</x:f>
        <x:v>6445.024</x:v>
      </x:c>
      <x:c r="E24" t="n">
        <x:f>C24-D24</x:f>
        <x:v>2137.4399999999996</x:v>
      </x:c>
      <x:c r="F24" t="n">
        <x:f>E24*Assumptions!$B$4</x:f>
        <x:v>14962.079999999998</x:v>
      </x:c>
      <x:c r="G24" t="str">
        <x:v>Historical BEE limits + constant-loading scenario</x:v>
      </x:c>
    </x:row>
    <x:row r="25" ht="23" customHeight="1">
      <x:c r="A25" t="n">
        <x:v>160</x:v>
      </x:c>
      <x:c r="B25" s="7" t="n">
        <x:v>0.75</x:v>
      </x:c>
      <x:c r="C25" t="n">
        <x:f>('RQ3_Distribution'!B6+'RQ3_Distribution'!C6*B25^2)*Assumptions!$B$3</x:f>
        <x:v>11964.699999999999</x:v>
      </x:c>
      <x:c r="D25" t="n">
        <x:f>('RQ3_Distribution'!D6+'RQ3_Distribution'!E6*B25^2)*Assumptions!$B$3</x:f>
        <x:v>9117.699999999999</x:v>
      </x:c>
      <x:c r="E25" t="n">
        <x:f>C25-D25</x:f>
        <x:v>2847</x:v>
      </x:c>
      <x:c r="F25" t="n">
        <x:f>E25*Assumptions!$B$4</x:f>
        <x:v>19929</x:v>
      </x:c>
      <x:c r="G25" t="str">
        <x:v>Historical BEE limits + constant-loading scenario</x:v>
      </x:c>
    </x:row>
    <x:row r="26" ht="23" customHeight="1">
      <x:c r="A26" t="n">
        <x:v>160</x:v>
      </x:c>
      <x:c r="B26" s="7" t="n">
        <x:v>1</x:v>
      </x:c>
      <x:c r="C26" t="n">
        <x:f>('RQ3_Distribution'!B6+'RQ3_Distribution'!C6*B26^2)*Assumptions!$B$3</x:f>
        <x:v>19272</x:v>
      </x:c>
      <x:c r="D26" t="n">
        <x:f>('RQ3_Distribution'!D6+'RQ3_Distribution'!E6*B26^2)*Assumptions!$B$3</x:f>
        <x:v>14892</x:v>
      </x:c>
      <x:c r="E26" t="n">
        <x:f>C26-D26</x:f>
        <x:v>4380</x:v>
      </x:c>
      <x:c r="F26" t="n">
        <x:f>E26*Assumptions!$B$4</x:f>
        <x:v>30660</x:v>
      </x:c>
      <x:c r="G26" t="str">
        <x:v>Historical BEE limits + constant-loading scenario</x:v>
      </x:c>
    </x:row>
    <x:row r="27" ht="23" customHeight="1">
      <x:c r="A27" t="n">
        <x:v>200</x:v>
      </x:c>
      <x:c r="B27" s="7" t="n">
        <x:v>0.25</x:v>
      </x:c>
      <x:c r="C27" t="n">
        <x:f>('RQ3_Distribution'!B7+'RQ3_Distribution'!C7*B27^2)*Assumptions!$B$3</x:f>
        <x:v>3832.5</x:v>
      </x:c>
      <x:c r="D27" t="n">
        <x:f>('RQ3_Distribution'!D7+'RQ3_Distribution'!E7*B27^2)*Assumptions!$B$3</x:f>
        <x:v>2737.5</x:v>
      </x:c>
      <x:c r="E27" t="n">
        <x:f>C27-D27</x:f>
        <x:v>1095</x:v>
      </x:c>
      <x:c r="F27" t="n">
        <x:f>E27*Assumptions!$B$4</x:f>
        <x:v>7665</x:v>
      </x:c>
      <x:c r="G27" t="str">
        <x:v>Historical BEE limits + constant-loading scenario</x:v>
      </x:c>
    </x:row>
    <x:row r="28" ht="23" customHeight="1">
      <x:c r="A28" t="n">
        <x:v>200</x:v>
      </x:c>
      <x:c r="B28" s="7" t="n">
        <x:v>0.5</x:v>
      </x:c>
      <x:c r="C28" t="n">
        <x:f>('RQ3_Distribution'!B7+'RQ3_Distribution'!C7*B28^2)*Assumptions!$B$3</x:f>
        <x:v>7796.4000000000015</x:v>
      </x:c>
      <x:c r="D28" t="n">
        <x:f>('RQ3_Distribution'!D7+'RQ3_Distribution'!E7*B28^2)*Assumptions!$B$3</x:f>
        <x:v>5869.200000000001</x:v>
      </x:c>
      <x:c r="E28" t="n">
        <x:f>C28-D28</x:f>
        <x:v>1927.2000000000007</x:v>
      </x:c>
      <x:c r="F28" t="n">
        <x:f>E28*Assumptions!$B$4</x:f>
        <x:v>13490.400000000005</x:v>
      </x:c>
      <x:c r="G28" t="str">
        <x:v>Historical BEE limits + constant-loading scenario</x:v>
      </x:c>
    </x:row>
    <x:row r="29" ht="23" customHeight="1">
      <x:c r="A29" t="n">
        <x:v>200</x:v>
      </x:c>
      <x:c r="B29" s="7" t="n">
        <x:v>0.6</x:v>
      </x:c>
      <x:c r="C29" t="n">
        <x:f>('RQ3_Distribution'!B7+'RQ3_Distribution'!C7*B29^2)*Assumptions!$B$3</x:f>
        <x:v>10121.887999999999</x:v>
      </x:c>
      <x:c r="D29" t="n">
        <x:f>('RQ3_Distribution'!D7+'RQ3_Distribution'!E7*B29^2)*Assumptions!$B$3</x:f>
        <x:v>7706.464</x:v>
      </x:c>
      <x:c r="E29" t="n">
        <x:f>C29-D29</x:f>
        <x:v>2415.423999999999</x:v>
      </x:c>
      <x:c r="F29" t="n">
        <x:f>E29*Assumptions!$B$4</x:f>
        <x:v>16907.967999999993</x:v>
      </x:c>
      <x:c r="G29" t="str">
        <x:v>Historical BEE limits + constant-loading scenario</x:v>
      </x:c>
    </x:row>
    <x:row r="30" ht="23" customHeight="1">
      <x:c r="A30" t="n">
        <x:v>200</x:v>
      </x:c>
      <x:c r="B30" s="7" t="n">
        <x:v>0.75</x:v>
      </x:c>
      <x:c r="C30" t="n">
        <x:f>('RQ3_Distribution'!B7+'RQ3_Distribution'!C7*B30^2)*Assumptions!$B$3</x:f>
        <x:v>14402.900000000001</x:v>
      </x:c>
      <x:c r="D30" t="n">
        <x:f>('RQ3_Distribution'!D7+'RQ3_Distribution'!E7*B30^2)*Assumptions!$B$3</x:f>
        <x:v>11088.7</x:v>
      </x:c>
      <x:c r="E30" t="n">
        <x:f>C30-D30</x:f>
        <x:v>3314.2000000000007</x:v>
      </x:c>
      <x:c r="F30" t="n">
        <x:f>E30*Assumptions!$B$4</x:f>
        <x:v>23199.400000000005</x:v>
      </x:c>
      <x:c r="G30" t="str">
        <x:v>Historical BEE limits + constant-loading scenario</x:v>
      </x:c>
    </x:row>
    <x:row r="31" ht="23" customHeight="1">
      <x:c r="A31" t="n">
        <x:v>200</x:v>
      </x:c>
      <x:c r="B31" s="7" t="n">
        <x:v>1</x:v>
      </x:c>
      <x:c r="C31" t="n">
        <x:f>('RQ3_Distribution'!B7+'RQ3_Distribution'!C7*B31^2)*Assumptions!$B$3</x:f>
        <x:v>23652</x:v>
      </x:c>
      <x:c r="D31" t="n">
        <x:f>('RQ3_Distribution'!D7+'RQ3_Distribution'!E7*B31^2)*Assumptions!$B$3</x:f>
        <x:v>18396</x:v>
      </x:c>
      <x:c r="E31" t="n">
        <x:f>C31-D31</x:f>
        <x:v>5256</x:v>
      </x:c>
      <x:c r="F31" t="n">
        <x:f>E31*Assumptions!$B$4</x:f>
        <x:v>36792</x:v>
      </x:c>
      <x:c r="G31" t="str">
        <x:v>Historical BEE limits + constant-loading scenario</x:v>
      </x:c>
    </x:row>
    <x:row r="32" ht="23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85" hidden="0" customWidth="1"/>
  </x:cols>
  <x:sheetData>
    <x:row r="1" ht="26" customHeight="1">
      <x:c r="A1" s="11" t="str">
        <x:v>kVA</x:v>
      </x:c>
      <x:c r="B1" s="11" t="str">
        <x:v>Mean NPV INR</x:v>
      </x:c>
      <x:c r="C1" s="11" t="str">
        <x:v>Median NPV INR</x:v>
      </x:c>
      <x:c r="D1" s="11" t="str">
        <x:v>P5 NPV INR</x:v>
      </x:c>
      <x:c r="E1" s="11" t="str">
        <x:v>P95 NPV INR</x:v>
      </x:c>
      <x:c r="F1" s="11" t="str">
        <x:v>P(NPV&gt;0)</x:v>
      </x:c>
      <x:c r="G1" s="11" t="str">
        <x:v>Draws</x:v>
      </x:c>
      <x:c r="H1" s="11" t="str">
        <x:v>Assumption basis</x:v>
      </x:c>
    </x:row>
    <x:row r="2" ht="26" customHeight="1">
      <x:c r="A2" t="n">
        <x:v>16</x:v>
      </x:c>
      <x:c r="B2" t="n">
        <x:v>-36459.88113485381</x:v>
      </x:c>
      <x:c r="C2" t="n">
        <x:v>-36810.3162782321</x:v>
      </x:c>
      <x:c r="D2" t="n">
        <x:v>-50704.75821629364</x:v>
      </x:c>
      <x:c r="E2" t="n">
        <x:v>-21002.49029897113</x:v>
      </x:c>
      <x:c r="F2" s="8" t="n">
        <x:v>0</x:v>
      </x:c>
      <x:c r="G2" t="n">
        <x:v>5000</x:v>
      </x:c>
      <x:c r="H2" t="str">
        <x:v>Independent triangular loading [25%,60%,95%], tariff [4,7,10] INR/kWh, CAPEX multiplier [0.8,1,1.3]</x:v>
      </x:c>
    </x:row>
    <x:row r="3" ht="26" customHeight="1">
      <x:c r="A3" t="n">
        <x:v>25</x:v>
      </x:c>
      <x:c r="B3" t="n">
        <x:v>-53112.30839609059</x:v>
      </x:c>
      <x:c r="C3" t="n">
        <x:v>-53457.898474241556</x:v>
      </x:c>
      <x:c r="D3" t="n">
        <x:v>-71872.66504094667</x:v>
      </x:c>
      <x:c r="E3" t="n">
        <x:v>-32920.72535422923</x:v>
      </x:c>
      <x:c r="F3" s="8" t="n">
        <x:v>0</x:v>
      </x:c>
      <x:c r="G3" t="n">
        <x:v>5000</x:v>
      </x:c>
      <x:c r="H3" t="str">
        <x:v>Independent triangular loading [25%,60%,95%], tariff [4,7,10] INR/kWh, CAPEX multiplier [0.8,1,1.3]</x:v>
      </x:c>
    </x:row>
    <x:row r="4" ht="26" customHeight="1">
      <x:c r="A4" t="n">
        <x:v>63</x:v>
      </x:c>
      <x:c r="B4" t="n">
        <x:v>-60599.9660898268</x:v>
      </x:c>
      <x:c r="C4" t="n">
        <x:v>-62011.99088883573</x:v>
      </x:c>
      <x:c r="D4" t="n">
        <x:v>-92401.82095627698</x:v>
      </x:c>
      <x:c r="E4" t="n">
        <x:v>-25080.13521108186</x:v>
      </x:c>
      <x:c r="F4" s="8" t="n">
        <x:v>0.0052</x:v>
      </x:c>
      <x:c r="G4" t="n">
        <x:v>5000</x:v>
      </x:c>
      <x:c r="H4" t="str">
        <x:v>Independent triangular loading [25%,60%,95%], tariff [4,7,10] INR/kWh, CAPEX multiplier [0.8,1,1.3]</x:v>
      </x:c>
    </x:row>
    <x:row r="5" ht="26" customHeight="1">
      <x:c r="A5" t="n">
        <x:v>100</x:v>
      </x:c>
      <x:c r="B5" t="n">
        <x:v>-90679.72440628275</x:v>
      </x:c>
      <x:c r="C5" t="n">
        <x:v>-93671.15968937955</x:v>
      </x:c>
      <x:c r="D5" t="n">
        <x:v>-138109.4206899462</x:v>
      </x:c>
      <x:c r="E5" t="n">
        <x:v>-32768.80710347698</x:v>
      </x:c>
      <x:c r="F5" s="8" t="n">
        <x:v>0.0076</x:v>
      </x:c>
      <x:c r="G5" t="n">
        <x:v>5000</x:v>
      </x:c>
      <x:c r="H5" t="str">
        <x:v>Independent triangular loading [25%,60%,95%], tariff [4,7,10] INR/kWh, CAPEX multiplier [0.8,1,1.3]</x:v>
      </x:c>
    </x:row>
    <x:row r="6" ht="26" customHeight="1">
      <x:c r="A6" t="n">
        <x:v>160</x:v>
      </x:c>
      <x:c r="B6" t="n">
        <x:v>-99917.1725836967</x:v>
      </x:c>
      <x:c r="C6" t="n">
        <x:v>-104418.72856386125</x:v>
      </x:c>
      <x:c r="D6" t="n">
        <x:v>-173122.17814379118</x:v>
      </x:c>
      <x:c r="E6" t="n">
        <x:v>-12119.482221855535</x:v>
      </x:c>
      <x:c r="F6" s="8" t="n">
        <x:v>0.0332</x:v>
      </x:c>
      <x:c r="G6" t="n">
        <x:v>5000</x:v>
      </x:c>
      <x:c r="H6" t="str">
        <x:v>Independent triangular loading [25%,60%,95%], tariff [4,7,10] INR/kWh, CAPEX multiplier [0.8,1,1.3]</x:v>
      </x:c>
    </x:row>
    <x:row r="7" ht="26" customHeight="1">
      <x:c r="A7" t="n">
        <x:v>200</x:v>
      </x:c>
      <x:c r="B7" t="n">
        <x:v>-138934.0688079265</x:v>
      </x:c>
      <x:c r="C7" t="n">
        <x:v>-144824.5402862249</x:v>
      </x:c>
      <x:c r="D7" t="n">
        <x:v>-229302.25795781074</x:v>
      </x:c>
      <x:c r="E7" t="n">
        <x:v>-30468.270922744403</x:v>
      </x:c>
      <x:c r="F7" s="8" t="n">
        <x:v>0.0218</x:v>
      </x:c>
      <x:c r="G7" t="n">
        <x:v>5000</x:v>
      </x:c>
      <x:c r="H7" t="str">
        <x:v>Independent triangular loading [25%,60%,95%], tariff [4,7,10] INR/kWh, CAPEX multiplier [0.8,1,1.3]</x:v>
      </x:c>
    </x:row>
    <x:row r="8" ht="26" customHeight="1"/>
    <x:row r="9" ht="26" customHeight="1"/>
    <x:row r="10" ht="26" customHeight="1"/>
    <x:row r="11" ht="26" customHeight="1"/>
    <x:row r="12" ht="26" customHeight="1"/>
    <x:row r="13" ht="26" customHeight="1"/>
    <x:row r="14" ht="26" customHeight="1"/>
    <x:row r="15" ht="26" customHeight="1"/>
    <x:row r="16" ht="26" customHeight="1"/>
    <x:row r="17" ht="26" customHeight="1"/>
    <x:row r="18" ht="26" customHeight="1"/>
    <x:row r="19" ht="26" customHeight="1"/>
    <x:row r="20" ht="26" customHeight="1"/>
    <x:row r="21" ht="26" customHeight="1"/>
    <x:row r="22" ht="26" customHeight="1"/>
    <x:row r="23" ht="26" customHeight="1"/>
    <x:row r="24" ht="26" customHeight="1"/>
    <x:row r="25" ht="26" customHeight="1"/>
    <x:row r="26" ht="26" customHeight="1"/>
    <x:row r="27" ht="26" customHeight="1"/>
    <x:row r="28" ht="26" customHeight="1"/>
    <x:row r="29" ht="26" customHeight="1"/>
    <x:row r="30" ht="26" customHeight="1"/>
    <x:row r="31" ht="26" customHeight="1"/>
    <x:row r="32" ht="26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50" hidden="0" customWidth="1"/>
    <x:col min="8" max="8" width="22" hidden="0" customWidth="1"/>
    <x:col min="9" max="9" width="22" hidden="0" customWidth="1"/>
  </x:cols>
  <x:sheetData>
    <x:row r="1" ht="26" customHeight="1">
      <x:c r="A1" s="11" t="str">
        <x:v>Scenario</x:v>
      </x:c>
      <x:c r="B1" s="11" t="str">
        <x:v>Budget INR</x:v>
      </x:c>
      <x:c r="C1" s="11" t="str">
        <x:v>Chosen kVA</x:v>
      </x:c>
      <x:c r="D1" s="11" t="str">
        <x:v>Total CAPEX INR</x:v>
      </x:c>
      <x:c r="E1" s="11" t="str">
        <x:v>Portfolio NPV INR</x:v>
      </x:c>
      <x:c r="F1" s="11" t="str">
        <x:v>Method</x:v>
      </x:c>
      <x:c r="G1" s="11" t="str">
        <x:v>Status</x:v>
      </x:c>
      <x:c r="H1" s="11" t="str">
        <x:v>Reliability benefit INR/asset/year</x:v>
      </x:c>
      <x:c r="I1" s="11" t="str">
        <x:v>CAPEX factor</x:v>
      </x:c>
    </x:row>
    <x:row r="2" ht="26" customHeight="1">
      <x:c r="A2" t="str">
        <x:v>Energy-only</x:v>
      </x:c>
      <x:c r="B2" t="n">
        <x:v>800000</x:v>
      </x:c>
      <x:c r="C2" t="str">
        <x:v>None</x:v>
      </x:c>
      <x:c r="D2" t="n">
        <x:v>0</x:v>
      </x:c>
      <x:c r="E2" t="n">
        <x:v>0</x:v>
      </x:c>
      <x:c r="F2" t="str">
        <x:v>SciPy HiGHS exact binary MILP</x:v>
      </x:c>
      <x:c r="G2" t="str">
        <x:v>Solved: Optimization terminated successfully. (HiGHS Status 7: Optimal)</x:v>
      </x:c>
      <x:c r="H2" t="n">
        <x:v>0</x:v>
      </x:c>
      <x:c r="I2" t="n">
        <x:v>1</x:v>
      </x:c>
    </x:row>
    <x:row r="3" ht="26" customHeight="1">
      <x:c r="A3" t="str">
        <x:v>Reliability sensitivity</x:v>
      </x:c>
      <x:c r="B3" t="n">
        <x:v>800000</x:v>
      </x:c>
      <x:c r="C3" t="str">
        <x:v>16, 25, 63, 100, 160</x:v>
      </x:c>
      <x:c r="D3" t="n">
        <x:v>615000</x:v>
      </x:c>
      <x:c r="E3" t="n">
        <x:v>310389.2074920467</x:v>
      </x:c>
      <x:c r="F3" t="str">
        <x:v>SciPy HiGHS exact binary MILP</x:v>
      </x:c>
      <x:c r="G3" t="str">
        <x:v>Solved: Optimization terminated successfully. (HiGHS Status 7: Optimal)</x:v>
      </x:c>
      <x:c r="H3" t="n">
        <x:v>15000</x:v>
      </x:c>
      <x:c r="I3" t="n">
        <x:v>1</x:v>
      </x:c>
    </x:row>
    <x:row r="4" ht="26" customHeight="1">
      <x:c r="A4" t="str">
        <x:v>Half-cost sensitivity</x:v>
      </x:c>
      <x:c r="B4" t="n">
        <x:v>800000</x:v>
      </x:c>
      <x:c r="C4" t="str">
        <x:v>160, 200</x:v>
      </x:c>
      <x:c r="D4" t="n">
        <x:v>252500</x:v>
      </x:c>
      <x:c r="E4" t="n">
        <x:v>20290.99663919068</x:v>
      </x:c>
      <x:c r="F4" t="str">
        <x:v>SciPy HiGHS exact binary MILP</x:v>
      </x:c>
      <x:c r="G4" t="str">
        <x:v>Solved: Optimization terminated successfully. (HiGHS Status 7: Optimal)</x:v>
      </x:c>
      <x:c r="H4" t="n">
        <x:v>0</x:v>
      </x:c>
      <x:c r="I4" t="n">
        <x:v>0.5</x:v>
      </x:c>
    </x:row>
    <x:row r="5" ht="26" customHeight="1">
      <x:c r="A5" t="str">
        <x:v>Lower budget reliability</x:v>
      </x:c>
      <x:c r="B5" t="n">
        <x:v>200000</x:v>
      </x:c>
      <x:c r="C5" t="str">
        <x:v>16, 25</x:v>
      </x:c>
      <x:c r="D5" t="n">
        <x:v>130000</x:v>
      </x:c>
      <x:c r="E5" t="n">
        <x:v>169753.49145781767</x:v>
      </x:c>
      <x:c r="F5" t="str">
        <x:v>SciPy HiGHS exact binary MILP</x:v>
      </x:c>
      <x:c r="G5" t="str">
        <x:v>Solved: Optimization terminated successfully. (HiGHS Status 7: Optimal)</x:v>
      </x:c>
      <x:c r="H5" t="n">
        <x:v>15000</x:v>
      </x:c>
      <x:c r="I5" t="n">
        <x:v>1</x:v>
      </x:c>
    </x:row>
    <x:row r="6" ht="26" customHeight="1"/>
    <x:row r="7" ht="26" customHeight="1"/>
    <x:row r="8" ht="26" customHeight="1"/>
    <x:row r="9" ht="26" customHeight="1"/>
    <x:row r="10" ht="26" customHeight="1"/>
    <x:row r="11" ht="26" customHeight="1"/>
    <x:row r="12" ht="26" customHeight="1"/>
    <x:row r="13" ht="26" customHeight="1"/>
    <x:row r="14" ht="26" customHeight="1"/>
    <x:row r="15" ht="26" customHeight="1"/>
    <x:row r="16" ht="26" customHeight="1"/>
    <x:row r="17" ht="26" customHeight="1"/>
    <x:row r="18" ht="26" customHeight="1"/>
    <x:row r="19" ht="26" customHeight="1"/>
    <x:row r="20" ht="26" customHeight="1"/>
    <x:row r="21" ht="26" customHeight="1"/>
    <x:row r="22" ht="26" customHeight="1"/>
    <x:row r="23" ht="26" customHeight="1"/>
    <x:row r="24" ht="26" customHeight="1"/>
    <x:row r="25" ht="26" customHeight="1"/>
    <x:row r="26" ht="26" customHeight="1"/>
    <x:row r="27" ht="26" customHeight="1"/>
    <x:row r="28" ht="26" customHeight="1"/>
    <x:row r="29" ht="26" customHeight="1"/>
    <x:row r="30" ht="26" customHeight="1"/>
    <x:row r="31" ht="26" customHeight="1"/>
    <x:row r="32" ht="26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80" hidden="0" customWidth="1"/>
  </x:cols>
  <x:sheetData>
    <x:row r="1" ht="26" customHeight="1">
      <x:c r="A1" s="11" t="str">
        <x:v>Budget INR</x:v>
      </x:c>
      <x:c r="B1" s="11" t="str">
        <x:v>Energy-only selected</x:v>
      </x:c>
      <x:c r="C1" s="11" t="str">
        <x:v>Energy-only portfolio NPV INR</x:v>
      </x:c>
      <x:c r="D1" s="11" t="str">
        <x:v>Reliability-scenario selected</x:v>
      </x:c>
      <x:c r="E1" s="11" t="str">
        <x:v>Reliability portfolio NPV INR</x:v>
      </x:c>
      <x:c r="F1" s="11" t="str">
        <x:v>Caution</x:v>
      </x:c>
    </x:row>
    <x:row r="2" ht="26" customHeight="1">
      <x:c r="A2" t="n">
        <x:v>0</x:v>
      </x:c>
      <x:c r="B2" t="str">
        <x:v>None</x:v>
      </x:c>
      <x:c r="C2" t="n">
        <x:v>0</x:v>
      </x:c>
      <x:c r="D2" t="str">
        <x:v>None</x:v>
      </x:c>
      <x:c r="E2" t="n">
        <x:v>0</x:v>
      </x:c>
      <x:c r="F2" t="str">
        <x:v>Illustrative annual reliability benefit is hypothetical, not calibrated to failures</x:v>
      </x:c>
    </x:row>
    <x:row r="3" ht="26" customHeight="1">
      <x:c r="A3" t="n">
        <x:v>100000</x:v>
      </x:c>
      <x:c r="B3" t="str">
        <x:v>None</x:v>
      </x:c>
      <x:c r="C3" t="n">
        <x:v>0</x:v>
      </x:c>
      <x:c r="D3" t="str">
        <x:v>16</x:v>
      </x:c>
      <x:c r="E3" t="n">
        <x:v>92987.22368959172</x:v>
      </x:c>
      <x:c r="F3" t="str">
        <x:v>Illustrative annual reliability benefit is hypothetical, not calibrated to failures</x:v>
      </x:c>
    </x:row>
    <x:row r="4" ht="26" customHeight="1">
      <x:c r="A4" t="n">
        <x:v>200000</x:v>
      </x:c>
      <x:c r="B4" t="str">
        <x:v>None</x:v>
      </x:c>
      <x:c r="C4" t="n">
        <x:v>0</x:v>
      </x:c>
      <x:c r="D4" t="str">
        <x:v>16, 25</x:v>
      </x:c>
      <x:c r="E4" t="n">
        <x:v>169753.49145781767</x:v>
      </x:c>
      <x:c r="F4" t="str">
        <x:v>Illustrative annual reliability benefit is hypothetical, not calibrated to failures</x:v>
      </x:c>
    </x:row>
    <x:row r="5" ht="26" customHeight="1">
      <x:c r="A5" t="n">
        <x:v>400000</x:v>
      </x:c>
      <x:c r="B5" t="str">
        <x:v>None</x:v>
      </x:c>
      <x:c r="C5" t="n">
        <x:v>0</x:v>
      </x:c>
      <x:c r="D5" t="str">
        <x:v>16, 25, 63, 100</x:v>
      </x:c>
      <x:c r="E5" t="n">
        <x:v>278929.42228610156</x:v>
      </x:c>
      <x:c r="F5" t="str">
        <x:v>Illustrative annual reliability benefit is hypothetical, not calibrated to failures</x:v>
      </x:c>
    </x:row>
    <x:row r="6" ht="26" customHeight="1">
      <x:c r="A6" t="n">
        <x:v>600000</x:v>
      </x:c>
      <x:c r="B6" t="str">
        <x:v>None</x:v>
      </x:c>
      <x:c r="C6" t="n">
        <x:v>0</x:v>
      </x:c>
      <x:c r="D6" t="str">
        <x:v>16, 25, 63, 100</x:v>
      </x:c>
      <x:c r="E6" t="n">
        <x:v>278929.42228610156</x:v>
      </x:c>
      <x:c r="F6" t="str">
        <x:v>Illustrative annual reliability benefit is hypothetical, not calibrated to failures</x:v>
      </x:c>
    </x:row>
    <x:row r="7" ht="26" customHeight="1">
      <x:c r="A7" t="n">
        <x:v>800000</x:v>
      </x:c>
      <x:c r="B7" t="str">
        <x:v>None</x:v>
      </x:c>
      <x:c r="C7" t="n">
        <x:v>0</x:v>
      </x:c>
      <x:c r="D7" t="str">
        <x:v>16, 25, 63, 100, 160</x:v>
      </x:c>
      <x:c r="E7" t="n">
        <x:v>310389.2074920467</x:v>
      </x:c>
      <x:c r="F7" t="str">
        <x:v>Illustrative annual reliability benefit is hypothetical, not calibrated to failures</x:v>
      </x:c>
    </x:row>
    <x:row r="8" ht="26" customHeight="1">
      <x:c r="A8" t="n">
        <x:v>1000000</x:v>
      </x:c>
      <x:c r="B8" t="str">
        <x:v>None</x:v>
      </x:c>
      <x:c r="C8" t="n">
        <x:v>0</x:v>
      </x:c>
      <x:c r="D8" t="str">
        <x:v>16, 25, 63, 100, 160</x:v>
      </x:c>
      <x:c r="E8" t="n">
        <x:v>310389.2074920467</x:v>
      </x:c>
      <x:c r="F8" t="str">
        <x:v>Illustrative annual reliability benefit is hypothetical, not calibrated to failures</x:v>
      </x:c>
    </x:row>
    <x:row r="9" ht="26" customHeight="1"/>
    <x:row r="10" ht="26" customHeight="1"/>
    <x:row r="11" ht="26" customHeight="1"/>
    <x:row r="12" ht="26" customHeight="1"/>
    <x:row r="13" ht="26" customHeight="1"/>
    <x:row r="14" ht="26" customHeight="1"/>
    <x:row r="15" ht="26" customHeight="1"/>
    <x:row r="16" ht="26" customHeight="1"/>
    <x:row r="17" ht="26" customHeight="1"/>
    <x:row r="18" ht="26" customHeight="1"/>
    <x:row r="19" ht="26" customHeight="1"/>
    <x:row r="20" ht="26" customHeight="1"/>
    <x:row r="21" ht="26" customHeight="1"/>
    <x:row r="22" ht="26" customHeight="1"/>
    <x:row r="23" ht="26" customHeight="1"/>
    <x:row r="24" ht="26" customHeight="1"/>
    <x:row r="25" ht="26" customHeight="1"/>
    <x:row r="26" ht="26" customHeight="1"/>
    <x:row r="27" ht="26" customHeight="1"/>
    <x:row r="28" ht="26" customHeight="1"/>
    <x:row r="29" ht="26" customHeight="1"/>
    <x:row r="30" ht="26" customHeight="1"/>
    <x:row r="31" ht="26" customHeight="1"/>
    <x:row r="32" ht="26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5" hidden="0" customWidth="1"/>
    <x:col min="3" max="3" width="70" hidden="0" customWidth="1"/>
  </x:cols>
  <x:sheetData>
    <x:row r="1" ht="26" customHeight="1">
      <x:c r="A1" s="11" t="str">
        <x:v>Input required</x:v>
      </x:c>
      <x:c r="B1" s="11" t="str">
        <x:v>Status</x:v>
      </x:c>
      <x:c r="C1" s="11" t="str">
        <x:v>Research caution</x:v>
      </x:c>
    </x:row>
    <x:row r="2" ht="26" customHeight="1">
      <x:c r="A2" t="str">
        <x:v>Verified base no-load loss (kW)</x:v>
      </x:c>
      <x:c r="B2" t="str">
        <x:v>Missing</x:v>
      </x:c>
      <x:c r="C2" t="str">
        <x:v>Must come from source-specific power transformer specification</x:v>
      </x:c>
    </x:row>
    <x:row r="3" ht="26" customHeight="1">
      <x:c r="A3" t="str">
        <x:v>Verified base rated-load loss (kW)</x:v>
      </x:c>
      <x:c r="B3" t="str">
        <x:v>Missing</x:v>
      </x:c>
      <x:c r="C3" t="str">
        <x:v>Reference temperature and tap must be identified</x:v>
      </x:c>
    </x:row>
    <x:row r="4" ht="26" customHeight="1">
      <x:c r="A4" t="str">
        <x:v>Matched replacement loss values</x:v>
      </x:c>
      <x:c r="B4" t="str">
        <x:v>Missing</x:v>
      </x:c>
      <x:c r="C4" t="str">
        <x:v>Compare equal technical service requirements</x:v>
      </x:c>
    </x:row>
    <x:row r="5" ht="26" customHeight="1">
      <x:c r="A5" t="str">
        <x:v>Public source URLs</x:v>
      </x:c>
      <x:c r="B5" t="str">
        <x:v>Missing</x:v>
      </x:c>
      <x:c r="C5" t="str">
        <x:v>Do not use BEE distribution loss tables</x:v>
      </x:c>
    </x:row>
    <x:row r="6" ht="26" customHeight="1">
      <x:c r="A6" t="str">
        <x:v>Operating load scenario</x:v>
      </x:c>
      <x:c r="B6" t="str">
        <x:v>Assumption available</x:v>
      </x:c>
      <x:c r="C6" t="str">
        <x:v>Utility interval data would improve validity</x:v>
      </x:c>
    </x:row>
    <x:row r="7" ht="26" customHeight="1">
      <x:c r="A7" t="str">
        <x:v>Installed CAPEX / quotations</x:v>
      </x:c>
      <x:c r="B7" t="str">
        <x:v>Missing</x:v>
      </x:c>
      <x:c r="C7" t="str">
        <x:v>No empirical NPV until provided; scenarios allowed</x:v>
      </x:c>
    </x:row>
    <x:row r="8" ht="26" customHeight="1">
      <x:c r="A8" t="str">
        <x:v>Power transformer RQ3/RQ4 outputs</x:v>
      </x:c>
      <x:c r="B8" t="str">
        <x:v>Pending</x:v>
      </x:c>
      <x:c r="C8" t="str">
        <x:v>No fabricated numerical power-transformer results</x:v>
      </x:c>
    </x:row>
    <x:row r="9" ht="26" customHeight="1"/>
    <x:row r="10" ht="26" customHeight="1"/>
    <x:row r="11" ht="26" customHeight="1"/>
    <x:row r="12" ht="26" customHeight="1"/>
    <x:row r="13" ht="26" customHeight="1"/>
    <x:row r="14" ht="26" customHeight="1"/>
    <x:row r="15" ht="26" customHeight="1"/>
    <x:row r="16" ht="26" customHeight="1"/>
    <x:row r="17" ht="26" customHeight="1"/>
    <x:row r="18" ht="26" customHeight="1"/>
    <x:row r="19" ht="26" customHeight="1"/>
    <x:row r="20" ht="26" customHeight="1"/>
    <x:row r="21" ht="26" customHeight="1"/>
    <x:row r="22" ht="26" customHeight="1"/>
    <x:row r="23" ht="26" customHeight="1"/>
    <x:row r="24" ht="26" customHeight="1"/>
    <x:row r="25" ht="26" customHeight="1"/>
    <x:row r="26" ht="26" customHeight="1"/>
    <x:row r="27" ht="26" customHeight="1"/>
    <x:row r="28" ht="26" customHeight="1"/>
    <x:row r="29" ht="26" customHeight="1"/>
    <x:row r="30" ht="26" customHeight="1"/>
    <x:row r="31" ht="26" customHeight="1"/>
    <x:row r="32" ht="26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5" hidden="0" customWidth="1"/>
  </x:cols>
  <x:sheetData>
    <x:row r="1" ht="26" customHeight="1">
      <x:c r="A1" s="11" t="str">
        <x:v>Item</x:v>
      </x:c>
      <x:c r="B1" s="11" t="str">
        <x:v>Method / qualification</x:v>
      </x:c>
    </x:row>
    <x:row r="2" ht="26" customHeight="1">
      <x:c r="A2" t="str">
        <x:v>Input basis</x:v>
      </x:c>
      <x:c r="B2" t="str">
        <x:v>Original uploaded workbook; historical BEE maximum-loss benchmark values, not OEM measured data</x:v>
      </x:c>
    </x:row>
    <x:row r="3" ht="26" customHeight="1">
      <x:c r="A3" t="str">
        <x:v>Loss model</x:v>
      </x:c>
      <x:c r="B3" t="str">
        <x:v>P_loss = P0 + x^2 * PLL; P0 and PLL inferred from 50% and 100% published limits</x:v>
      </x:c>
    </x:row>
    <x:row r="4" ht="26" customHeight="1">
      <x:c r="A4" t="str">
        <x:v>Loading sensitivity</x:v>
      </x:c>
      <x:c r="B4" t="str">
        <x:v>Constant 25%, 50%, 60%, 75%, 100% loading, 8760 energized hours</x:v>
      </x:c>
    </x:row>
    <x:row r="5" ht="26" customHeight="1">
      <x:c r="A5" t="str">
        <x:v>NPV</x:v>
      </x:c>
      <x:c r="B5" t="str">
        <x:v>-CAPEX + annuity factor * (annual energy value + explicitly assumed reliability benefit)</x:v>
      </x:c>
    </x:row>
    <x:row r="6" ht="26" customHeight="1">
      <x:c r="A6" t="str">
        <x:v>MILP</x:v>
      </x:c>
      <x:c r="B6" t="str">
        <x:v>Maximize sum of project NPVs subject to sum of selected costs &lt;= budget and binary choices</x:v>
      </x:c>
    </x:row>
    <x:row r="7" ht="26" customHeight="1">
      <x:c r="A7" t="str">
        <x:v>MILP implementation</x:v>
      </x:c>
      <x:c r="B7" t="str">
        <x:v>SciPy milp / HiGHS exact integer solver; output is stored numerical solver result</x:v>
      </x:c>
    </x:row>
    <x:row r="8" ht="26" customHeight="1">
      <x:c r="A8" t="str">
        <x:v>Monte Carlo</x:v>
      </x:c>
      <x:c r="B8" t="str">
        <x:v>5000 reproducible draws with seed 64042; independent triangular distributions, not empirically calibrated</x:v>
      </x:c>
    </x:row>
    <x:row r="9" ht="26" customHeight="1">
      <x:c r="A9" t="str">
        <x:v>Loading distribution</x:v>
      </x:c>
      <x:c r="B9" t="str">
        <x:v>Triangular minimum 0.25, mode 0.60, maximum 0.95</x:v>
      </x:c>
    </x:row>
    <x:row r="10" ht="26" customHeight="1">
      <x:c r="A10" t="str">
        <x:v>Tariff distribution</x:v>
      </x:c>
      <x:c r="B10" t="str">
        <x:v>Triangular minimum ₹4, mode ₹7, maximum ₹10 per kWh</x:v>
      </x:c>
    </x:row>
    <x:row r="11" ht="26" customHeight="1">
      <x:c r="A11" t="str">
        <x:v>CAPEX distribution</x:v>
      </x:c>
      <x:c r="B11" t="str">
        <x:v>Triangular cost multiplier 0.8, mode 1.0, maximum 1.3</x:v>
      </x:c>
    </x:row>
    <x:row r="12" ht="26" customHeight="1">
      <x:c r="A12" t="str">
        <x:v>Reliability scenario</x:v>
      </x:c>
      <x:c r="B12" t="str">
        <x:v>₹15,000 per year per replaced transformer is a purely hypothetical benefit; not an observed avoided loss</x:v>
      </x:c>
    </x:row>
    <x:row r="13" ht="26" customHeight="1">
      <x:c r="A13" t="str">
        <x:v>Power transformer</x:v>
      </x:c>
      <x:c r="B13" t="str">
        <x:v>Unpopulated until verified public power transformer specification with loss data; do not claim results</x:v>
      </x:c>
    </x:row>
    <x:row r="14" ht="26" customHeight="1"/>
    <x:row r="15" ht="26" customHeight="1"/>
    <x:row r="16" ht="26" customHeight="1"/>
    <x:row r="17" ht="26" customHeight="1"/>
    <x:row r="18" ht="26" customHeight="1"/>
    <x:row r="19" ht="26" customHeight="1"/>
    <x:row r="20" ht="26" customHeight="1"/>
    <x:row r="21" ht="26" customHeight="1"/>
    <x:row r="22" ht="26" customHeight="1"/>
    <x:row r="23" ht="26" customHeight="1"/>
    <x:row r="24" ht="26" customHeight="1"/>
    <x:row r="25" ht="26" customHeight="1"/>
    <x:row r="26" ht="26" customHeight="1"/>
    <x:row r="27" ht="26" customHeight="1"/>
    <x:row r="28" ht="26" customHeight="1"/>
    <x:row r="29" ht="26" customHeight="1"/>
    <x:row r="30" ht="26" customHeight="1"/>
    <x:row r="31" ht="26" customHeight="1"/>
    <x:row r="32" ht="26" customHeight="1"/>
  </x:sheetData>
  <x:pageMargins left="0.7" right="0.7" top="0.75" bottom="0.75" header="0.3" footer="0.3"/>
</x:worksheet>
</file>
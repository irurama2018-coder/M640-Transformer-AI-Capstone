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89f550fa5ca435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T_Public_BEE" sheetId="1" r:id="R2672cfd0c92c430f"/>
    <x:sheet xmlns:r="http://schemas.openxmlformats.org/officeDocument/2006/relationships" name="Assumptions" sheetId="2" r:id="Rf2e52fb779594bd0"/>
    <x:sheet xmlns:r="http://schemas.openxmlformats.org/officeDocument/2006/relationships" name="RQ3_Distribution" sheetId="3" r:id="Rde5f062861cf43cd"/>
    <x:sheet xmlns:r="http://schemas.openxmlformats.org/officeDocument/2006/relationships" name="RQ4_Distribution" sheetId="4" r:id="R7e9bf6b2daf24e17"/>
    <x:sheet xmlns:r="http://schemas.openxmlformats.org/officeDocument/2006/relationships" name="RQ4_Controls" sheetId="5" r:id="R383b9745276d4cbb"/>
    <x:sheet xmlns:r="http://schemas.openxmlformats.org/officeDocument/2006/relationships" name="Power_Public_Input" sheetId="6" r:id="R559855f2fef74892"/>
    <x:sheet xmlns:r="http://schemas.openxmlformats.org/officeDocument/2006/relationships" name="RQ3_Power_Pending" sheetId="7" r:id="R92d1da0f4885436b"/>
    <x:sheet xmlns:r="http://schemas.openxmlformats.org/officeDocument/2006/relationships" name="Method_and_Sources" sheetId="8" r:id="R0516811d577940e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5324F"/>
      </x:patternFill>
    </x:fill>
  </x:fills>
  <x:borders count="2">
    <x:border/>
    <x:border/>
  </x:borders>
  <x:cellStyleXfs count="1">
    <x:xf numFmtId="0" fontId="0" fillId="0" borderId="0"/>
  </x:cellStyleXfs>
  <x:cellXfs count="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46e2daba9e4baf" /><Relationship Type="http://schemas.openxmlformats.org/officeDocument/2006/relationships/theme" Target="/xl/theme/theme1.xml" Id="R1c029f480b664d2f" /><Relationship Type="http://schemas.openxmlformats.org/officeDocument/2006/relationships/sharedStrings" Target="/xl/sharedStrings.xml" Id="Reda3ec5327c541eb" /><Relationship Type="http://schemas.openxmlformats.org/officeDocument/2006/relationships/worksheet" Target="/xl/worksheets/sheet1.xml" Id="R2672cfd0c92c430f" /><Relationship Type="http://schemas.openxmlformats.org/officeDocument/2006/relationships/worksheet" Target="/xl/worksheets/sheet2.xml" Id="Rf2e52fb779594bd0" /><Relationship Type="http://schemas.openxmlformats.org/officeDocument/2006/relationships/worksheet" Target="/xl/worksheets/sheet3.xml" Id="Rde5f062861cf43cd" /><Relationship Type="http://schemas.openxmlformats.org/officeDocument/2006/relationships/worksheet" Target="/xl/worksheets/sheet4.xml" Id="R7e9bf6b2daf24e17" /><Relationship Type="http://schemas.openxmlformats.org/officeDocument/2006/relationships/worksheet" Target="/xl/worksheets/sheet5.xml" Id="R383b9745276d4cbb" /><Relationship Type="http://schemas.openxmlformats.org/officeDocument/2006/relationships/worksheet" Target="/xl/worksheets/sheet6.xml" Id="R559855f2fef74892" /><Relationship Type="http://schemas.openxmlformats.org/officeDocument/2006/relationships/worksheet" Target="/xl/worksheets/sheet7.xml" Id="R92d1da0f4885436b" /><Relationship Type="http://schemas.openxmlformats.org/officeDocument/2006/relationships/worksheet" Target="/xl/worksheets/sheet8.xml" Id="R0516811d577940e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58" hidden="0" customWidth="1"/>
  </x:cols>
  <x:sheetData>
    <x:row r="1" ht="29" customHeight="1">
      <x:c r="A1" s="3" t="str">
        <x:v>kVA</x:v>
      </x:c>
      <x:c r="B1" s="3" t="str">
        <x:v>Baseline tier</x:v>
      </x:c>
      <x:c r="C1" s="3" t="str">
        <x:v>L50 W</x:v>
      </x:c>
      <x:c r="D1" s="3" t="str">
        <x:v>L100 W</x:v>
      </x:c>
      <x:c r="E1" s="3" t="str">
        <x:v>Upgrade tier</x:v>
      </x:c>
      <x:c r="F1" s="3" t="str">
        <x:v>L50 W</x:v>
      </x:c>
      <x:c r="G1" s="3" t="str">
        <x:v>L100 W</x:v>
      </x:c>
      <x:c r="H1" s="3" t="str">
        <x:v>Source URL</x:v>
      </x:c>
      <x:c r="I1" s="3" t="str">
        <x:v>Evidence caveat</x:v>
      </x:c>
    </x:row>
    <x:row r="2">
      <x:c r="A2" t="n">
        <x:v>16</x:v>
      </x:c>
      <x:c r="B2" t="str">
        <x:v>3-star legacy</x:v>
      </x:c>
      <x:c r="C2" t="n">
        <x:v>150</x:v>
      </x:c>
      <x:c r="D2" t="n">
        <x:v>480</x:v>
      </x:c>
      <x:c r="E2" t="str">
        <x:v>5-star legacy</x:v>
      </x:c>
      <x:c r="F2" t="n">
        <x:v>120</x:v>
      </x:c>
      <x:c r="G2" t="n">
        <x:v>400</x:v>
      </x:c>
      <x:c r="H2" t="str">
        <x:v>https://sidhiee.beeindia.gov.in/images/DigitalLibrary/637877968963725337.pdf</x:v>
      </x:c>
      <x:c r="I2" t="str">
        <x:v>Historical BEE table; maximum limits, NOT measurements</x:v>
      </x:c>
    </x:row>
    <x:row r="3">
      <x:c r="A3" t="n">
        <x:v>25</x:v>
      </x:c>
      <x:c r="B3" t="str">
        <x:v>3-star legacy</x:v>
      </x:c>
      <x:c r="C3" t="n">
        <x:v>210</x:v>
      </x:c>
      <x:c r="D3" t="n">
        <x:v>695</x:v>
      </x:c>
      <x:c r="E3" t="str">
        <x:v>5-star legacy</x:v>
      </x:c>
      <x:c r="F3" t="n">
        <x:v>175</x:v>
      </x:c>
      <x:c r="G3" t="n">
        <x:v>595</x:v>
      </x:c>
      <x:c r="H3" t="str">
        <x:v>https://sidhiee.beeindia.gov.in/images/DigitalLibrary/637877968963725337.pdf</x:v>
      </x:c>
      <x:c r="I3" t="str">
        <x:v>Historical BEE table; maximum limits, NOT measurements</x:v>
      </x:c>
    </x:row>
    <x:row r="4">
      <x:c r="A4" t="n">
        <x:v>63</x:v>
      </x:c>
      <x:c r="B4" t="str">
        <x:v>3-star legacy</x:v>
      </x:c>
      <x:c r="C4" t="n">
        <x:v>380</x:v>
      </x:c>
      <x:c r="D4" t="n">
        <x:v>1250</x:v>
      </x:c>
      <x:c r="E4" t="str">
        <x:v>5-star legacy</x:v>
      </x:c>
      <x:c r="F4" t="n">
        <x:v>300</x:v>
      </x:c>
      <x:c r="G4" t="n">
        <x:v>1050</x:v>
      </x:c>
      <x:c r="H4" t="str">
        <x:v>https://sidhiee.beeindia.gov.in/images/DigitalLibrary/637877968963725337.pdf</x:v>
      </x:c>
      <x:c r="I4" t="str">
        <x:v>Historical BEE table; maximum limits, NOT measurements</x:v>
      </x:c>
    </x:row>
    <x:row r="5">
      <x:c r="A5" t="n">
        <x:v>100</x:v>
      </x:c>
      <x:c r="B5" t="str">
        <x:v>3-star legacy</x:v>
      </x:c>
      <x:c r="C5" t="n">
        <x:v>520</x:v>
      </x:c>
      <x:c r="D5" t="n">
        <x:v>1800</x:v>
      </x:c>
      <x:c r="E5" t="str">
        <x:v>5-star legacy</x:v>
      </x:c>
      <x:c r="F5" t="n">
        <x:v>435</x:v>
      </x:c>
      <x:c r="G5" t="n">
        <x:v>1500</x:v>
      </x:c>
      <x:c r="H5" t="str">
        <x:v>https://sidhiee.beeindia.gov.in/images/DigitalLibrary/637877968963725337.pdf</x:v>
      </x:c>
      <x:c r="I5" t="str">
        <x:v>Historical BEE table; maximum limits, NOT measurements</x:v>
      </x:c>
    </x:row>
    <x:row r="6">
      <x:c r="A6" t="n">
        <x:v>160</x:v>
      </x:c>
      <x:c r="B6" t="str">
        <x:v>3-star legacy</x:v>
      </x:c>
      <x:c r="C6" t="n">
        <x:v>770</x:v>
      </x:c>
      <x:c r="D6" t="n">
        <x:v>2200</x:v>
      </x:c>
      <x:c r="E6" t="str">
        <x:v>5-star legacy</x:v>
      </x:c>
      <x:c r="F6" t="n">
        <x:v>570</x:v>
      </x:c>
      <x:c r="G6" t="n">
        <x:v>1700</x:v>
      </x:c>
      <x:c r="H6" t="str">
        <x:v>https://sidhiee.beeindia.gov.in/images/DigitalLibrary/637877968963725337.pdf</x:v>
      </x:c>
      <x:c r="I6" t="str">
        <x:v>Historical BEE table; maximum limits, NOT measurements</x:v>
      </x:c>
    </x:row>
    <x:row r="7">
      <x:c r="A7" t="n">
        <x:v>200</x:v>
      </x:c>
      <x:c r="B7" t="str">
        <x:v>3-star legacy</x:v>
      </x:c>
      <x:c r="C7" t="n">
        <x:v>890</x:v>
      </x:c>
      <x:c r="D7" t="n">
        <x:v>2700</x:v>
      </x:c>
      <x:c r="E7" t="str">
        <x:v>5-star legacy</x:v>
      </x:c>
      <x:c r="F7" t="n">
        <x:v>670</x:v>
      </x:c>
      <x:c r="G7" t="n">
        <x:v>2100</x:v>
      </x:c>
      <x:c r="H7" t="str">
        <x:v>https://sidhiee.beeindia.gov.in/images/DigitalLibrary/637877968963725337.pdf</x:v>
      </x:c>
      <x:c r="I7" t="str">
        <x:v>Historical BEE table; maximum limits, NOT measurements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7" hidden="0" customWidth="1"/>
  </x:cols>
  <x:sheetData>
    <x:row r="1" ht="29" customHeight="1">
      <x:c r="A1" s="3" t="str">
        <x:v>Parameter</x:v>
      </x:c>
      <x:c r="B1" s="3" t="str">
        <x:v>Value</x:v>
      </x:c>
      <x:c r="C1" s="3" t="str">
        <x:v>Basis / caution</x:v>
      </x:c>
    </x:row>
    <x:row r="2">
      <x:c r="A2" t="str">
        <x:v>Loading fraction</x:v>
      </x:c>
      <x:c r="B2" t="n">
        <x:v>0.6</x:v>
      </x:c>
      <x:c r="C2" t="str">
        <x:v>Illustrative constant load; replace with utility interval series</x:v>
      </x:c>
    </x:row>
    <x:row r="3">
      <x:c r="A3" t="str">
        <x:v>Operating hours per year</x:v>
      </x:c>
      <x:c r="B3" t="n">
        <x:v>8760</x:v>
      </x:c>
      <x:c r="C3" t="str">
        <x:v>Illustrative energized hours</x:v>
      </x:c>
    </x:row>
    <x:row r="4">
      <x:c r="A4" t="str">
        <x:v>Energy value INR/kWh</x:v>
      </x:c>
      <x:c r="B4" t="n">
        <x:v>7</x:v>
      </x:c>
      <x:c r="C4" t="str">
        <x:v>Assumed, not verified utility tariff</x:v>
      </x:c>
    </x:row>
    <x:row r="5">
      <x:c r="A5" t="str">
        <x:v>Discount rate</x:v>
      </x:c>
      <x:c r="B5" t="n">
        <x:v>0.08</x:v>
      </x:c>
      <x:c r="C5" t="str">
        <x:v>Assumed</x:v>
      </x:c>
    </x:row>
    <x:row r="6">
      <x:c r="A6" t="str">
        <x:v>Years</x:v>
      </x:c>
      <x:c r="B6" t="n">
        <x:v>15</x:v>
      </x:c>
      <x:c r="C6" t="str">
        <x:v>Assumed</x:v>
      </x:c>
    </x:row>
    <x:row r="7">
      <x:c r="A7" t="str">
        <x:v>CAPEX budget INR</x:v>
      </x:c>
      <x:c r="B7" t="n">
        <x:v>800000</x:v>
      </x:c>
      <x:c r="C7" t="str">
        <x:v>Assumed</x:v>
      </x:c>
    </x:row>
    <x:row r="8">
      <x:c r="A8" t="str">
        <x:v>MC draws</x:v>
      </x:c>
      <x:c r="B8" t="n">
        <x:v>1000</x:v>
      </x:c>
      <x:c r="C8" t="str">
        <x:v>Monte Carlo design parameter; not simulated in this file</x:v>
      </x:c>
    </x:row>
    <x:row r="9">
      <x:c r="A9" t="str">
        <x:v>Price scenario uncertainty</x:v>
      </x:c>
      <x:c r="B9" t="n">
        <x:v>0.2</x:v>
      </x:c>
      <x:c r="C9" t="str">
        <x:v>Illustrative ±20%; not empirically estimated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39" hidden="0" customWidth="1"/>
  </x:cols>
  <x:sheetData>
    <x:row r="1" ht="29" customHeight="1">
      <x:c r="A1" s="3" t="str">
        <x:v>kVA</x:v>
      </x:c>
      <x:c r="B1" s="3" t="str">
        <x:v>Baseline P0 kW</x:v>
      </x:c>
      <x:c r="C1" s="3" t="str">
        <x:v>Baseline PLL kW</x:v>
      </x:c>
      <x:c r="D1" s="3" t="str">
        <x:v>Upgrade P0 kW</x:v>
      </x:c>
      <x:c r="E1" s="3" t="str">
        <x:v>Upgrade PLL kW</x:v>
      </x:c>
      <x:c r="F1" s="3" t="str">
        <x:v>Base annual kWh</x:v>
      </x:c>
      <x:c r="G1" s="3" t="str">
        <x:v>Upgrade annual kWh</x:v>
      </x:c>
      <x:c r="H1" s="3" t="str">
        <x:v>Saved kWh/yr</x:v>
      </x:c>
      <x:c r="I1" s="3" t="str">
        <x:v>Value INR/yr</x:v>
      </x:c>
      <x:c r="J1" s="3" t="str">
        <x:v>Data class</x:v>
      </x:c>
    </x:row>
    <x:row r="2">
      <x:c r="A2" t="n">
        <x:v>16</x:v>
      </x:c>
      <x:c r="B2" t="n">
        <x:f>(4*DT_Public_BEE!C2-DT_Public_BEE!D2)/3000</x:f>
        <x:v>0.04</x:v>
      </x:c>
      <x:c r="C2" t="n">
        <x:f>4*(DT_Public_BEE!D2-DT_Public_BEE!C2)/3000</x:f>
        <x:v>0.44</x:v>
      </x:c>
      <x:c r="D2" t="n">
        <x:f>(4*DT_Public_BEE!F2-DT_Public_BEE!G2)/3000</x:f>
        <x:v>0.02666666666666667</x:v>
      </x:c>
      <x:c r="E2" t="n">
        <x:f>4*(DT_Public_BEE!G2-DT_Public_BEE!F2)/3000</x:f>
        <x:v>0.37333333333333335</x:v>
      </x:c>
      <x:c r="F2" t="n">
        <x:f>(B2+C2*Assumptions!$B$2^2)*Assumptions!$B$3</x:f>
        <x:v>1737.984</x:v>
      </x:c>
      <x:c r="G2" t="n">
        <x:f>(D2+E2*Assumptions!$B$2^2)*Assumptions!$B$3</x:f>
        <x:v>1410.944</x:v>
      </x:c>
      <x:c r="H2" t="n">
        <x:f>F2-G2</x:f>
        <x:v>327.03999999999996</x:v>
      </x:c>
      <x:c r="I2" t="n">
        <x:f>H2*Assumptions!$B$4</x:f>
        <x:v>2289.2799999999997</x:v>
      </x:c>
      <x:c r="J2" t="str">
        <x:v>BEE published maximum-loss scenario</x:v>
      </x:c>
    </x:row>
    <x:row r="3">
      <x:c r="A3" t="n">
        <x:v>25</x:v>
      </x:c>
      <x:c r="B3" t="n">
        <x:f>(4*DT_Public_BEE!C3-DT_Public_BEE!D3)/3000</x:f>
        <x:v>0.04833333333333333</x:v>
      </x:c>
      <x:c r="C3" t="n">
        <x:f>4*(DT_Public_BEE!D3-DT_Public_BEE!C3)/3000</x:f>
        <x:v>0.6466666666666666</x:v>
      </x:c>
      <x:c r="D3" t="n">
        <x:f>(4*DT_Public_BEE!F3-DT_Public_BEE!G3)/3000</x:f>
        <x:v>0.035</x:v>
      </x:c>
      <x:c r="E3" t="n">
        <x:f>4*(DT_Public_BEE!G3-DT_Public_BEE!F3)/3000</x:f>
        <x:v>0.56</x:v>
      </x:c>
      <x:c r="F3" t="n">
        <x:f>(B3+C3*Assumptions!$B$2^2)*Assumptions!$B$3</x:f>
        <x:v>2462.7279999999996</x:v>
      </x:c>
      <x:c r="G3" t="n">
        <x:f>(D3+E3*Assumptions!$B$2^2)*Assumptions!$B$3</x:f>
        <x:v>2072.616</x:v>
      </x:c>
      <x:c r="H3" t="n">
        <x:f>F3-G3</x:f>
        <x:v>390.1119999999996</x:v>
      </x:c>
      <x:c r="I3" t="n">
        <x:f>H3*Assumptions!$B$4</x:f>
        <x:v>2730.7839999999974</x:v>
      </x:c>
      <x:c r="J3" t="str">
        <x:v>BEE published maximum-loss scenario</x:v>
      </x:c>
    </x:row>
    <x:row r="4">
      <x:c r="A4" t="n">
        <x:v>63</x:v>
      </x:c>
      <x:c r="B4" t="n">
        <x:f>(4*DT_Public_BEE!C4-DT_Public_BEE!D4)/3000</x:f>
        <x:v>0.09</x:v>
      </x:c>
      <x:c r="C4" t="n">
        <x:f>4*(DT_Public_BEE!D4-DT_Public_BEE!C4)/3000</x:f>
        <x:v>1.16</x:v>
      </x:c>
      <x:c r="D4" t="n">
        <x:f>(4*DT_Public_BEE!F4-DT_Public_BEE!G4)/3000</x:f>
        <x:v>0.05</x:v>
      </x:c>
      <x:c r="E4" t="n">
        <x:f>4*(DT_Public_BEE!G4-DT_Public_BEE!F4)/3000</x:f>
        <x:v>1</x:v>
      </x:c>
      <x:c r="F4" t="n">
        <x:f>(B4+C4*Assumptions!$B$2^2)*Assumptions!$B$3</x:f>
        <x:v>4446.575999999999</x:v>
      </x:c>
      <x:c r="G4" t="n">
        <x:f>(D4+E4*Assumptions!$B$2^2)*Assumptions!$B$3</x:f>
        <x:v>3591.6</x:v>
      </x:c>
      <x:c r="H4" t="n">
        <x:f>F4-G4</x:f>
        <x:v>854.9759999999992</x:v>
      </x:c>
      <x:c r="I4" t="n">
        <x:f>H4*Assumptions!$B$4</x:f>
        <x:v>5984.831999999995</x:v>
      </x:c>
      <x:c r="J4" t="str">
        <x:v>BEE published maximum-loss scenario</x:v>
      </x:c>
    </x:row>
    <x:row r="5">
      <x:c r="A5" t="n">
        <x:v>100</x:v>
      </x:c>
      <x:c r="B5" t="n">
        <x:f>(4*DT_Public_BEE!C5-DT_Public_BEE!D5)/3000</x:f>
        <x:v>0.09333333333333334</x:v>
      </x:c>
      <x:c r="C5" t="n">
        <x:f>4*(DT_Public_BEE!D5-DT_Public_BEE!C5)/3000</x:f>
        <x:v>1.7066666666666668</x:v>
      </x:c>
      <x:c r="D5" t="n">
        <x:f>(4*DT_Public_BEE!F5-DT_Public_BEE!G5)/3000</x:f>
        <x:v>0.08</x:v>
      </x:c>
      <x:c r="E5" t="n">
        <x:f>4*(DT_Public_BEE!G5-DT_Public_BEE!F5)/3000</x:f>
        <x:v>1.42</x:v>
      </x:c>
      <x:c r="F5" t="n">
        <x:f>(B5+C5*Assumptions!$B$2^2)*Assumptions!$B$3</x:f>
        <x:v>6199.744000000001</x:v>
      </x:c>
      <x:c r="G5" t="n">
        <x:f>(D5+E5*Assumptions!$B$2^2)*Assumptions!$B$3</x:f>
        <x:v>5178.911999999999</x:v>
      </x:c>
      <x:c r="H5" t="n">
        <x:f>F5-G5</x:f>
        <x:v>1020.8320000000012</x:v>
      </x:c>
      <x:c r="I5" t="n">
        <x:f>H5*Assumptions!$B$4</x:f>
        <x:v>7145.824000000009</x:v>
      </x:c>
      <x:c r="J5" t="str">
        <x:v>BEE published maximum-loss scenario</x:v>
      </x:c>
    </x:row>
    <x:row r="6">
      <x:c r="A6" t="n">
        <x:v>160</x:v>
      </x:c>
      <x:c r="B6" t="n">
        <x:f>(4*DT_Public_BEE!C6-DT_Public_BEE!D6)/3000</x:f>
        <x:v>0.29333333333333333</x:v>
      </x:c>
      <x:c r="C6" t="n">
        <x:f>4*(DT_Public_BEE!D6-DT_Public_BEE!C6)/3000</x:f>
        <x:v>1.9066666666666667</x:v>
      </x:c>
      <x:c r="D6" t="n">
        <x:f>(4*DT_Public_BEE!F6-DT_Public_BEE!G6)/3000</x:f>
        <x:v>0.19333333333333333</x:v>
      </x:c>
      <x:c r="E6" t="n">
        <x:f>4*(DT_Public_BEE!G6-DT_Public_BEE!F6)/3000</x:f>
        <x:v>1.5066666666666666</x:v>
      </x:c>
      <x:c r="F6" t="n">
        <x:f>(B6+C6*Assumptions!$B$2^2)*Assumptions!$B$3</x:f>
        <x:v>8582.464</x:v>
      </x:c>
      <x:c r="G6" t="n">
        <x:f>(D6+E6*Assumptions!$B$2^2)*Assumptions!$B$3</x:f>
        <x:v>6445.024</x:v>
      </x:c>
      <x:c r="H6" t="n">
        <x:f>F6-G6</x:f>
        <x:v>2137.4399999999996</x:v>
      </x:c>
      <x:c r="I6" t="n">
        <x:f>H6*Assumptions!$B$4</x:f>
        <x:v>14962.079999999998</x:v>
      </x:c>
      <x:c r="J6" t="str">
        <x:v>BEE published maximum-loss scenario</x:v>
      </x:c>
    </x:row>
    <x:row r="7">
      <x:c r="A7" t="n">
        <x:v>200</x:v>
      </x:c>
      <x:c r="B7" t="n">
        <x:f>(4*DT_Public_BEE!C7-DT_Public_BEE!D7)/3000</x:f>
        <x:v>0.2866666666666667</x:v>
      </x:c>
      <x:c r="C7" t="n">
        <x:f>4*(DT_Public_BEE!D7-DT_Public_BEE!C7)/3000</x:f>
        <x:v>2.4133333333333336</x:v>
      </x:c>
      <x:c r="D7" t="n">
        <x:f>(4*DT_Public_BEE!F7-DT_Public_BEE!G7)/3000</x:f>
        <x:v>0.19333333333333333</x:v>
      </x:c>
      <x:c r="E7" t="n">
        <x:f>4*(DT_Public_BEE!G7-DT_Public_BEE!F7)/3000</x:f>
        <x:v>1.9066666666666667</x:v>
      </x:c>
      <x:c r="F7" t="n">
        <x:f>(B7+C7*Assumptions!$B$2^2)*Assumptions!$B$3</x:f>
        <x:v>10121.887999999999</x:v>
      </x:c>
      <x:c r="G7" t="n">
        <x:f>(D7+E7*Assumptions!$B$2^2)*Assumptions!$B$3</x:f>
        <x:v>7706.464</x:v>
      </x:c>
      <x:c r="H7" t="n">
        <x:f>F7-G7</x:f>
        <x:v>2415.423999999999</x:v>
      </x:c>
      <x:c r="I7" t="n">
        <x:f>H7*Assumptions!$B$4</x:f>
        <x:v>16907.967999999993</x:v>
      </x:c>
      <x:c r="J7" t="str">
        <x:v>BEE published maximum-loss scenario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67" hidden="0" customWidth="1"/>
  </x:cols>
  <x:sheetData>
    <x:row r="1" ht="29" customHeight="1">
      <x:c r="A1" s="3" t="str">
        <x:v>kVA</x:v>
      </x:c>
      <x:c r="B1" s="3" t="str">
        <x:v>CAPEX INR (assumed)</x:v>
      </x:c>
      <x:c r="C1" s="3" t="str">
        <x:v>Annual saving INR</x:v>
      </x:c>
      <x:c r="D1" s="3" t="str">
        <x:v>NPV INR</x:v>
      </x:c>
      <x:c r="E1" s="3" t="str">
        <x:v>NPV positive?</x:v>
      </x:c>
      <x:c r="F1" s="3" t="str">
        <x:v>Portfolio select (0/1)</x:v>
      </x:c>
      <x:c r="G1" s="3" t="str">
        <x:v>Portfolio CAPEX</x:v>
      </x:c>
      <x:c r="H1" s="3" t="str">
        <x:v>Portfolio NPV</x:v>
      </x:c>
      <x:c r="I1" s="3" t="str">
        <x:v>Notes</x:v>
      </x:c>
    </x:row>
    <x:row r="2">
      <x:c r="A2" t="n">
        <x:v>16</x:v>
      </x:c>
      <x:c r="B2" t="n">
        <x:v>55000</x:v>
      </x:c>
      <x:c r="C2" t="n">
        <x:f>RQ3_Distribution!I2</x:f>
        <x:v>2289.2799999999997</x:v>
      </x:c>
      <x:c r="D2" t="n">
        <x:f>-B2+C2*(1-(1+Assumptions!$B$5)^(-Assumptions!$B$6))/Assumptions!$B$5</x:f>
        <x:v>-35404.95662930391</x:v>
      </x:c>
      <x:c r="E2" t="str">
        <x:f>IF(D2&gt;0,"YES","NO")</x:f>
        <x:v>NO</x:v>
      </x:c>
      <x:c r="F2" t="n">
        <x:v>0</x:v>
      </x:c>
      <x:c r="G2" t="n">
        <x:f>B2*F2</x:f>
        <x:v>0</x:v>
      </x:c>
      <x:c r="H2" t="n">
        <x:f>D2*F2</x:f>
        <x:v>0</x:v>
      </x:c>
      <x:c r="I2" t="str">
        <x:v>Illustrative replacement CAPEX; optimizer selection requires external MILP solver</x:v>
      </x:c>
    </x:row>
    <x:row r="3">
      <x:c r="A3" t="n">
        <x:v>25</x:v>
      </x:c>
      <x:c r="B3" t="n">
        <x:v>75000</x:v>
      </x:c>
      <x:c r="C3" t="n">
        <x:f>RQ3_Distribution!I3</x:f>
        <x:v>2730.7839999999974</x:v>
      </x:c>
      <x:c r="D3" t="n">
        <x:f>-B3+C3*(1-(1+Assumptions!$B$5)^(-Assumptions!$B$6))/Assumptions!$B$5</x:f>
        <x:v>-51625.91255066968</x:v>
      </x:c>
      <x:c r="E3" t="str">
        <x:f>IF(D3&gt;0,"YES","NO")</x:f>
        <x:v>NO</x:v>
      </x:c>
      <x:c r="F3" t="n">
        <x:v>0</x:v>
      </x:c>
      <x:c r="G3" t="n">
        <x:f>B3*F3</x:f>
        <x:v>0</x:v>
      </x:c>
      <x:c r="H3" t="n">
        <x:f>D3*F3</x:f>
        <x:v>0</x:v>
      </x:c>
      <x:c r="I3" t="str">
        <x:v>Illustrative replacement CAPEX; optimizer selection requires external MILP solver</x:v>
      </x:c>
    </x:row>
    <x:row r="4">
      <x:c r="A4" t="n">
        <x:v>63</x:v>
      </x:c>
      <x:c r="B4" t="n">
        <x:v>110000</x:v>
      </x:c>
      <x:c r="C4" t="n">
        <x:f>RQ3_Distribution!I4</x:f>
        <x:v>5984.831999999995</x:v>
      </x:c>
      <x:c r="D4" t="n">
        <x:f>-B4+C4*(1-(1+Assumptions!$B$5)^(-Assumptions!$B$6))/Assumptions!$B$5</x:f>
        <x:v>-58772.95804518026</x:v>
      </x:c>
      <x:c r="E4" t="str">
        <x:f>IF(D4&gt;0,"YES","NO")</x:f>
        <x:v>NO</x:v>
      </x:c>
      <x:c r="F4" t="n">
        <x:v>0</x:v>
      </x:c>
      <x:c r="G4" t="n">
        <x:f>B4*F4</x:f>
        <x:v>0</x:v>
      </x:c>
      <x:c r="H4" t="n">
        <x:f>D4*F4</x:f>
        <x:v>0</x:v>
      </x:c>
      <x:c r="I4" t="str">
        <x:v>Illustrative replacement CAPEX; optimizer selection requires external MILP solver</x:v>
      </x:c>
    </x:row>
    <x:row r="5">
      <x:c r="A5" t="n">
        <x:v>100</x:v>
      </x:c>
      <x:c r="B5" t="n">
        <x:v>150000</x:v>
      </x:c>
      <x:c r="C5" t="n">
        <x:f>RQ3_Distribution!I5</x:f>
        <x:v>7145.824000000009</x:v>
      </x:c>
      <x:c r="D5" t="n">
        <x:f>-B5+C5*(1-(1+Assumptions!$B$5)^(-Assumptions!$B$6))/Assumptions!$B$5</x:f>
        <x:v>-88835.47176432711</x:v>
      </x:c>
      <x:c r="E5" t="str">
        <x:f>IF(D5&gt;0,"YES","NO")</x:f>
        <x:v>NO</x:v>
      </x:c>
      <x:c r="F5" t="n">
        <x:v>0</x:v>
      </x:c>
      <x:c r="G5" t="n">
        <x:f>B5*F5</x:f>
        <x:v>0</x:v>
      </x:c>
      <x:c r="H5" t="n">
        <x:f>D5*F5</x:f>
        <x:v>0</x:v>
      </x:c>
      <x:c r="I5" t="str">
        <x:v>Illustrative replacement CAPEX; optimizer selection requires external MILP solver</x:v>
      </x:c>
    </x:row>
    <x:row r="6">
      <x:c r="A6" t="n">
        <x:v>160</x:v>
      </x:c>
      <x:c r="B6" t="n">
        <x:v>225000</x:v>
      </x:c>
      <x:c r="C6" t="n">
        <x:f>RQ3_Distribution!I6</x:f>
        <x:v>14962.079999999998</x:v>
      </x:c>
      <x:c r="D6" t="n">
        <x:f>-B6+C6*(1-(1+Assumptions!$B$5)^(-Assumptions!$B$6))/Assumptions!$B$5</x:f>
        <x:v>-96932.39511295053</x:v>
      </x:c>
      <x:c r="E6" t="str">
        <x:f>IF(D6&gt;0,"YES","NO")</x:f>
        <x:v>NO</x:v>
      </x:c>
      <x:c r="F6" t="n">
        <x:v>0</x:v>
      </x:c>
      <x:c r="G6" t="n">
        <x:f>B6*F6</x:f>
        <x:v>0</x:v>
      </x:c>
      <x:c r="H6" t="n">
        <x:f>D6*F6</x:f>
        <x:v>0</x:v>
      </x:c>
      <x:c r="I6" t="str">
        <x:v>Illustrative replacement CAPEX; optimizer selection requires external MILP solver</x:v>
      </x:c>
    </x:row>
    <x:row r="7">
      <x:c r="A7" t="n">
        <x:v>200</x:v>
      </x:c>
      <x:c r="B7" t="n">
        <x:v>280000</x:v>
      </x:c>
      <x:c r="C7" t="n">
        <x:f>RQ3_Distribution!I7</x:f>
        <x:v>16907.967999999993</x:v>
      </x:c>
      <x:c r="D7" t="n">
        <x:f>-B7+C7*(1-(1+Assumptions!$B$5)^(-Assumptions!$B$6))/Assumptions!$B$5</x:f>
        <x:v>-135276.6082478589</x:v>
      </x:c>
      <x:c r="E7" t="str">
        <x:f>IF(D7&gt;0,"YES","NO")</x:f>
        <x:v>NO</x:v>
      </x:c>
      <x:c r="F7" t="n">
        <x:v>0</x:v>
      </x:c>
      <x:c r="G7" t="n">
        <x:f>B7*F7</x:f>
        <x:v>0</x:v>
      </x:c>
      <x:c r="H7" t="n">
        <x:f>D7*F7</x:f>
        <x:v>0</x:v>
      </x:c>
      <x:c r="I7" t="str">
        <x:v>Illustrative replacement CAPEX; optimizer selection requires external MILP solver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68" hidden="0" customWidth="1"/>
  </x:cols>
  <x:sheetData>
    <x:row r="1" ht="29" customHeight="1">
      <x:c r="A1" s="3" t="str">
        <x:v>Metric</x:v>
      </x:c>
      <x:c r="B1" s="3" t="str">
        <x:v>Value</x:v>
      </x:c>
      <x:c r="C1" s="3" t="str">
        <x:v>Interpretation</x:v>
      </x:c>
    </x:row>
    <x:row r="2">
      <x:c r="A2" t="str">
        <x:v>Selected cost INR</x:v>
      </x:c>
      <x:c r="B2" t="n">
        <x:f>SUM(RQ4_Distribution!G2:G7)</x:f>
        <x:v>0</x:v>
      </x:c>
      <x:c r="C2" t="str">
        <x:v>Must be &lt;= assumed budget</x:v>
      </x:c>
    </x:row>
    <x:row r="3">
      <x:c r="A3" t="str">
        <x:v>Selected portfolio NPV INR</x:v>
      </x:c>
      <x:c r="B3" t="n">
        <x:f>SUM(RQ4_Distribution!H2:H7)</x:f>
        <x:v>0</x:v>
      </x:c>
      <x:c r="C3" t="str">
        <x:v>Maximize via MILP with binary F2:F7</x:v>
      </x:c>
    </x:row>
    <x:row r="4">
      <x:c r="A4" t="str">
        <x:v>Budget INR</x:v>
      </x:c>
      <x:c r="B4" t="n">
        <x:f>Assumptions!B7</x:f>
        <x:v>800000</x:v>
      </x:c>
      <x:c r="C4" t="str">
        <x:v>From assumptions</x:v>
      </x:c>
    </x:row>
    <x:row r="5">
      <x:c r="A5" t="str">
        <x:v>Portfolio status</x:v>
      </x:c>
      <x:c r="B5" t="str">
        <x:v>Not optimized</x:v>
      </x:c>
      <x:c r="C5" t="str">
        <x:v>Selections default zero; do not present as solved MILP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46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</x:cols>
  <x:sheetData>
    <x:row r="1" ht="29" customHeight="1">
      <x:c r="A1" s="3" t="str">
        <x:v>Power_ID</x:v>
      </x:c>
      <x:c r="B1" s="3" t="str">
        <x:v>MVA</x:v>
      </x:c>
      <x:c r="C1" s="3" t="str">
        <x:v>HV_kV</x:v>
      </x:c>
      <x:c r="D1" s="3" t="str">
        <x:v>LV_kV</x:v>
      </x:c>
      <x:c r="E1" s="3" t="str">
        <x:v>P0_kW</x:v>
      </x:c>
      <x:c r="F1" s="3" t="str">
        <x:v>PLL_kW</x:v>
      </x:c>
      <x:c r="G1" s="3" t="str">
        <x:v>Test temp C</x:v>
      </x:c>
      <x:c r="H1" s="3" t="str">
        <x:v>Source URL</x:v>
      </x:c>
      <x:c r="I1" s="3" t="str">
        <x:v>Evidence type</x:v>
      </x:c>
      <x:c r="J1" s="3" t="str">
        <x:v>Replacement P0 kW</x:v>
      </x:c>
      <x:c r="K1" s="3" t="str">
        <x:v>Replacement PLL kW</x:v>
      </x:c>
      <x:c r="L1" s="3" t="str">
        <x:v>CAPEX INR</x:v>
      </x:c>
      <x:c r="M1" s="3" t="str">
        <x:v>Status</x:v>
      </x:c>
    </x:row>
    <x:row r="2">
      <x:c r="A2" t="str">
        <x:v>POWER_01</x:v>
      </x:c>
      <x:c r="B2"/>
      <x:c r="C2"/>
      <x:c r="D2"/>
      <x:c r="E2"/>
      <x:c r="F2"/>
      <x:c r="G2"/>
      <x:c r="H2"/>
      <x:c r="I2" t="str">
        <x:v>Pending public specification verification</x:v>
      </x:c>
      <x:c r="J2"/>
      <x:c r="K2"/>
      <x:c r="L2"/>
      <x:c r="M2" t="str">
        <x:v>NOT CALCULATED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65" hidden="0" customWidth="1"/>
  </x:cols>
  <x:sheetData>
    <x:row r="1" ht="29" customHeight="1">
      <x:c r="A1" s="3" t="str">
        <x:v>Power_ID</x:v>
      </x:c>
      <x:c r="B1" s="3" t="str">
        <x:v>Annual baseline kWh</x:v>
      </x:c>
      <x:c r="C1" s="3" t="str">
        <x:v>Annual replacement kWh</x:v>
      </x:c>
      <x:c r="D1" s="3" t="str">
        <x:v>Saved kWh</x:v>
      </x:c>
      <x:c r="E1" s="3" t="str">
        <x:v>Readiness</x:v>
      </x:c>
    </x:row>
    <x:row r="2">
      <x:c r="A2" t="str">
        <x:v>POWER_01</x:v>
      </x:c>
      <x:c r="B2"/>
      <x:c r="C2"/>
      <x:c r="D2"/>
      <x:c r="E2" t="str">
        <x:v>Pending verified matched power-transformer loss specifications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15" hidden="0" customWidth="1"/>
  </x:cols>
  <x:sheetData>
    <x:row r="1" ht="29" customHeight="1">
      <x:c r="A1" s="3" t="str">
        <x:v>Topic</x:v>
      </x:c>
      <x:c r="B1" s="3" t="str">
        <x:v>Explanation</x:v>
      </x:c>
    </x:row>
    <x:row r="2">
      <x:c r="A2" t="str">
        <x:v>Distribution benchmark</x:v>
      </x:c>
      <x:c r="B2" t="str">
        <x:v>Historical BEE published maximum total losses at 50% and 100% loading: https://sidhiee.beeindia.gov.in/images/DigitalLibrary/637877968963725337.pdf</x:v>
      </x:c>
    </x:row>
    <x:row r="3">
      <x:c r="A3" t="str">
        <x:v>Engineering inversion</x:v>
      </x:c>
      <x:c r="B3" t="str">
        <x:v>P0=(4*L50-L100)/3; PLL=4*(L100-L50)/3, with L values in kW; model assumes total loss = P0 + x^2 PLL</x:v>
      </x:c>
    </x:row>
    <x:row r="4">
      <x:c r="A4" t="str">
        <x:v>Scope caution</x:v>
      </x:c>
      <x:c r="B4" t="str">
        <x:v>Historical benchmark; verify applicable current star-rating standards before regulatory claims</x:v>
      </x:c>
    </x:row>
    <x:row r="5">
      <x:c r="A5" t="str">
        <x:v>Savings caution</x:v>
      </x:c>
      <x:c r="B5" t="str">
        <x:v>Maximum-loss benchmarks do not establish actual OEM efficiency or realized energy savings</x:v>
      </x:c>
    </x:row>
    <x:row r="6">
      <x:c r="A6" t="str">
        <x:v>Power transformers</x:v>
      </x:c>
      <x:c r="B6" t="str">
        <x:v>Separate model remains pending source-verified power transformer specs; do not extrapolate BEE distribution ratings</x:v>
      </x:c>
    </x:row>
    <x:row r="7">
      <x:c r="A7" t="str">
        <x:v>RQ4 costs</x:v>
      </x:c>
      <x:c r="B7" t="str">
        <x:v>Assumed INR figures, not OEM quotations or utility CAPEX</x:v>
      </x:c>
    </x:row>
    <x:row r="8">
      <x:c r="A8" t="str">
        <x:v>RQ4 optimization</x:v>
      </x:c>
      <x:c r="B8" t="str">
        <x:v>Binary F column is a decision input. Workbook does not solve MILP automatically; use scipy.optimize.milp or another exact solver</x:v>
      </x:c>
    </x:row>
    <x:row r="9">
      <x:c r="A9" t="str">
        <x:v>Monte Carlo</x:v>
      </x:c>
      <x:c r="B9" t="str">
        <x:v>Not yet executed; parameter is documented only. Do not report Monte Carlo results from this workbook</x:v>
      </x:c>
    </x:row>
    <x:row r="10">
      <x:c r="A10" t="str">
        <x:v>Privacy</x:v>
      </x:c>
      <x:c r="B10" t="str">
        <x:v>No proprietary OEM or utility data included</x:v>
      </x:c>
    </x:row>
  </x:sheetData>
  <x:pageMargins left="0.7" right="0.7" top="0.75" bottom="0.75" header="0.3" footer="0.3"/>
</x:worksheet>
</file>